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AC1C54-E7C2-434D-AD6C-D8B66EE91A5A}" xr6:coauthVersionLast="47" xr6:coauthVersionMax="47" xr10:uidLastSave="{00000000-0000-0000-0000-000000000000}"/>
  <bookViews>
    <workbookView xWindow="-108" yWindow="-108" windowWidth="23256" windowHeight="12456" activeTab="2" xr2:uid="{9B1AEDFE-2F9D-4D1F-A54C-FA7EB700B019}"/>
  </bookViews>
  <sheets>
    <sheet name="Sheet 1" sheetId="2" r:id="rId1"/>
    <sheet name="Orgs by webinar and region" sheetId="3" r:id="rId2"/>
    <sheet name="cons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6" i="4"/>
  <c r="C7" i="4"/>
  <c r="C16" i="2"/>
  <c r="D13" i="2"/>
  <c r="C13" i="2"/>
  <c r="B13" i="2"/>
  <c r="E13" i="2"/>
  <c r="F13" i="2"/>
  <c r="H13" i="2" l="1"/>
  <c r="I13" i="2"/>
  <c r="J13" i="2"/>
  <c r="K13" i="2"/>
  <c r="L13" i="2"/>
  <c r="M13" i="2"/>
  <c r="N13" i="2"/>
  <c r="G13" i="2"/>
  <c r="M22" i="3"/>
  <c r="M72" i="3"/>
  <c r="M73" i="3"/>
  <c r="M74" i="3"/>
  <c r="M75" i="3"/>
  <c r="M76" i="3"/>
  <c r="M77" i="3"/>
  <c r="M107" i="3"/>
  <c r="M108" i="3"/>
  <c r="M78" i="3"/>
  <c r="M109" i="3"/>
  <c r="M111" i="3"/>
  <c r="M65" i="3"/>
  <c r="M66" i="3"/>
  <c r="M67" i="3"/>
  <c r="M68" i="3"/>
  <c r="M69" i="3"/>
  <c r="M70" i="3"/>
  <c r="M122" i="3"/>
  <c r="M71" i="3"/>
  <c r="M15" i="3"/>
  <c r="M16" i="3"/>
  <c r="M23" i="3"/>
  <c r="M24" i="3"/>
  <c r="M26" i="3"/>
  <c r="M27" i="3"/>
  <c r="M25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110" i="3"/>
  <c r="M41" i="3"/>
  <c r="M42" i="3"/>
  <c r="M43" i="3"/>
  <c r="M44" i="3"/>
  <c r="M45" i="3"/>
  <c r="M46" i="3"/>
  <c r="M47" i="3"/>
  <c r="M48" i="3"/>
  <c r="M120" i="3"/>
  <c r="M49" i="3"/>
  <c r="M50" i="3"/>
  <c r="M112" i="3"/>
  <c r="M113" i="3"/>
  <c r="M115" i="3"/>
  <c r="M116" i="3"/>
  <c r="M117" i="3"/>
  <c r="M118" i="3"/>
  <c r="M121" i="3"/>
  <c r="M51" i="3"/>
  <c r="M52" i="3"/>
  <c r="M53" i="3"/>
  <c r="M54" i="3"/>
  <c r="M55" i="3"/>
  <c r="M56" i="3"/>
  <c r="M57" i="3"/>
  <c r="M58" i="3"/>
  <c r="M59" i="3"/>
  <c r="M60" i="3"/>
  <c r="M61" i="3"/>
  <c r="M62" i="3"/>
  <c r="M119" i="3"/>
  <c r="M63" i="3"/>
  <c r="M64" i="3"/>
  <c r="M106" i="3"/>
  <c r="M11" i="3"/>
  <c r="M12" i="3"/>
  <c r="M13" i="3"/>
  <c r="M14" i="3"/>
  <c r="M3" i="3"/>
  <c r="M4" i="3"/>
  <c r="M5" i="3"/>
  <c r="M6" i="3"/>
  <c r="M114" i="3"/>
  <c r="M7" i="3"/>
  <c r="M18" i="3"/>
  <c r="M19" i="3"/>
  <c r="M20" i="3"/>
  <c r="M21" i="3"/>
  <c r="M8" i="3"/>
  <c r="M9" i="3"/>
  <c r="M10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80" i="3"/>
  <c r="M81" i="3"/>
  <c r="M82" i="3"/>
  <c r="M17" i="3"/>
  <c r="AD13" i="2"/>
  <c r="M79" i="3" l="1"/>
  <c r="AC13" i="2"/>
  <c r="AB13" i="2"/>
  <c r="AA13" i="2"/>
  <c r="Z13" i="2"/>
  <c r="X13" i="2"/>
  <c r="W13" i="2"/>
  <c r="V13" i="2"/>
  <c r="U13" i="2"/>
  <c r="T13" i="2"/>
  <c r="S13" i="2"/>
  <c r="R13" i="2"/>
  <c r="Q13" i="2"/>
  <c r="P13" i="2"/>
  <c r="O13" i="2"/>
</calcChain>
</file>

<file path=xl/sharedStrings.xml><?xml version="1.0" encoding="utf-8"?>
<sst xmlns="http://schemas.openxmlformats.org/spreadsheetml/2006/main" count="216" uniqueCount="192">
  <si>
    <t>Date</t>
  </si>
  <si>
    <t>Webinar Title</t>
  </si>
  <si>
    <t>Region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</si>
  <si>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</si>
  <si>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</si>
  <si>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</si>
  <si>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</si>
  <si>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</si>
  <si>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</si>
  <si>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</si>
  <si>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</si>
  <si>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 2025</t>
  </si>
  <si>
    <t>March 2025</t>
  </si>
  <si>
    <t>April 2025</t>
  </si>
  <si>
    <t>May 2025</t>
  </si>
  <si>
    <t>JUNE 2025</t>
  </si>
  <si>
    <t>JULY 2025</t>
  </si>
  <si>
    <t>AUG 2025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</si>
  <si>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</si>
  <si>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</si>
  <si>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</si>
  <si>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</si>
  <si>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</si>
  <si>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</si>
  <si>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</si>
  <si>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</si>
  <si>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</si>
  <si>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</si>
  <si>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</si>
  <si>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</si>
  <si>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</si>
  <si>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</si>
  <si>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</si>
  <si>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</si>
  <si>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</si>
  <si>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</si>
  <si>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</si>
  <si>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Februrary 2024</t>
  </si>
  <si>
    <t>March 2024</t>
  </si>
  <si>
    <t>April 2024</t>
  </si>
  <si>
    <t>May 2024</t>
  </si>
  <si>
    <t>Organizations by Region</t>
  </si>
  <si>
    <t>Empowering Nursing Facility Care with CLAS! (Culturally and Linguistically Appropriate Services) (09/09/2025)</t>
  </si>
  <si>
    <t>An Introduction to Trauma-Informed Care (09/11/2025)</t>
  </si>
  <si>
    <t>PASRR Essentials- Federal Requirements and State-Specific Navigation for Nursing Facilities (09/16/2025)</t>
  </si>
  <si>
    <t>Addiction 101: What It Is and What It Isn’t (09/18/2025)</t>
  </si>
  <si>
    <t>Total</t>
  </si>
  <si>
    <t>SEPT 2025</t>
  </si>
  <si>
    <t>Total number of Organizations</t>
  </si>
  <si>
    <t>Total number of Nursing Facility Organizations (NFOs)</t>
  </si>
  <si>
    <t>Total number of Non-Nursing Facility Organizations (Non-NFOS)</t>
  </si>
  <si>
    <t>Long-Term Care: Part I: Basics and Diagnosis (05/02/2024)</t>
  </si>
  <si>
    <t>Long-Term Care Part 2: Differential Diagnosis and Workup (05/09/2024)</t>
  </si>
  <si>
    <t>Schizophrenia in Long-Term Care Part 3: Treatment (05/16/2024)</t>
  </si>
  <si>
    <t>Question, Persuade, Refer (QPR) (05/21/2024)</t>
  </si>
  <si>
    <t>Schizophrenia in Long-Term Care Part 4: Dual diagnosis - Schizophrenia with Substance Use Disorder (05/23/2024)</t>
  </si>
  <si>
    <t>Schizophrenia in Long-Term Care Part 5: Wrap-Up (05/30/2024)</t>
  </si>
  <si>
    <t>Question Persuade Refer (QPR) (02/08/24)</t>
  </si>
  <si>
    <t>Person Centered Care: How to Make it Work (02/13/24)</t>
  </si>
  <si>
    <t>Improving Behavioral Health Outcomes for African American Nursing Facility Residents (02/15/24)</t>
  </si>
  <si>
    <t>The Importance of Diversity-Informed Practices in Trauma-Informed Care: Part 2  (02/20/24)</t>
  </si>
  <si>
    <t>An Introduction to Substance Use Disorders (02/29/24)</t>
  </si>
  <si>
    <t>Serious Mental Illness in Nursing Facilities: Using a 5 Step Approach to Care (12/7/2023)</t>
  </si>
  <si>
    <t>Supporting Healing from Grief and Loss in Nursing Facilities (12/13/2023)</t>
  </si>
  <si>
    <t>Question, Persuade, Refer (QPR) – Suicide Prevention Training (12/14/2023)</t>
  </si>
  <si>
    <t>Holiday Seasonal Depression: Ways to Support Nursing Facility Residents  (12/20/2023)</t>
  </si>
  <si>
    <t>Tools for Creating Calm in Times of Distress Series: Part 5 of 6 (01/11/24)</t>
  </si>
  <si>
    <t>The Importance of Diversity-Informed Practices in Trauma-Informed Care (01/16/24)</t>
  </si>
  <si>
    <t>Preventing Compassion from Becoming  Fatigue: Self-Care Tips for Nursing Facility Staff (01/17/24)</t>
  </si>
  <si>
    <t>Tools for Creating Calm in Times of  Distress Series: Part 6 of 6 (01/18/24)</t>
  </si>
  <si>
    <t>Question, Persuade, Refer (QPR) (01/31/23)</t>
  </si>
  <si>
    <t>Understanding Race-Based, Historical, and Intergenerational Trauma in Nursing Facility Residents (03/19/24)</t>
  </si>
  <si>
    <t>Question, Persuade, Refer (QPR) Training (03/20/24)</t>
  </si>
  <si>
    <t>Opioid Overdose &amp; Naloxone Administration Training (03/21/24)</t>
  </si>
  <si>
    <t>An Overview of Bipolar Disorders for Nursing Facility Staff (03/26/24)</t>
  </si>
  <si>
    <t>Navigating the Path of Substance Use Recovery in Nursing Facility Residents: Exploring the Stages of Change (03/28/24)</t>
  </si>
  <si>
    <t>Tools for Creating Calm in Times of Distress: Part 3 (11/2/2023)</t>
  </si>
  <si>
    <t>An Overview of Schizophrenia &amp; Psychosis (11/07/2023)</t>
  </si>
  <si>
    <t>Question Persuade Refer (QPR)  (11/14/2023)</t>
  </si>
  <si>
    <t>Tools for Creating Calm in Times of Distress: Part 4  (11/16/2023)</t>
  </si>
  <si>
    <t>Dr. Gaur &amp; Dr. Azen  11/30/2023</t>
  </si>
  <si>
    <t>Building A Better Suicide Risk Assessment C-SSRS Attendance Analysis (04/16/2024)</t>
  </si>
  <si>
    <t>A Facility Assessment Approach to Behavioral Health (04/18/2024)</t>
  </si>
  <si>
    <t>Preventing Implicit (Unconscious) Bias from Undermining Resident Care: Strategies and Opportunities (04/23/2024)</t>
  </si>
  <si>
    <t>An Introduction to Trauma Informed Care Approaches (04/24/2024)</t>
  </si>
  <si>
    <t>Culturally and Linguistically Appropriate Services (CLAS) Implementation for Behavioral Health Equity in Nursing Facilities (04/25/2024)</t>
  </si>
  <si>
    <t>Question, Persuade, Refer (QPR) (04/30/2024)</t>
  </si>
  <si>
    <t>Building A Better Suicide Risk Assessment C-SSRS (06/12/2024)</t>
  </si>
  <si>
    <t>QPR (06/13/2024)</t>
  </si>
  <si>
    <t>Understanding Race-Based, Historical, and Intergenerational Trauma in Nursing Facility Residents (06/19/2024)</t>
  </si>
  <si>
    <t>SUD 101: The If’s &amp; What’s of Substance Use Disorder Basics (06/20/2024)</t>
  </si>
  <si>
    <t>Serious Mental Illness (SMI) in Nursing Facilities: Using A 5-Step Approach to Care (06/18/2024)</t>
  </si>
  <si>
    <t>Mental Health 101, Suicide Prevention &amp; De-escalation (06/25/2024)</t>
  </si>
  <si>
    <t>Understanding Co-Occurring Disorders: A Brief Overview (06/27/2024)</t>
  </si>
  <si>
    <t>QPR (07/09/2024)</t>
  </si>
  <si>
    <t>Crisis Intervention Strategies to Decrease the Risk of Suicidal Behavior in Nursing Facility Residents (07/16/2024)</t>
  </si>
  <si>
    <t>Effective De-escalation Strategies for Nursing Facilities (07/17/2024)</t>
  </si>
  <si>
    <t>Understanding Post-traumatic Stress Disorder (PTSD): A Brief Overview Webinar (07/23/2024)</t>
  </si>
  <si>
    <t>An Introduction to Trauma-informed Care (07/25/2024)</t>
  </si>
  <si>
    <t>Practical Strategies for Managing Behavioral Health Needs of Nursing Home Residents (08/07/2024)</t>
  </si>
  <si>
    <t>AMDA Roundtable Webinar: Exploring Options - Pain Management for Patients with Substance Use Disorder (08/07/2024</t>
  </si>
  <si>
    <t>Assessment and Initial Management of Suicidal Ideation Across Long Term Care Settings (08/14/2024)</t>
  </si>
  <si>
    <t>QPR (08/15/2024)</t>
  </si>
  <si>
    <t>Culturally and Linguistically Appropriate Services (CLAS) Implementation for Behavioral Health Equity in Nursing Facilities (08/20/2024)</t>
  </si>
  <si>
    <t>An Introduction to Trauma-Informed Care Webinar (08/22/2024)</t>
  </si>
  <si>
    <t>AMDA Roundtable Webinar: Gentler Journeys - Easing Transitions of Care for Patients with Serious Mental Illness Webinar (08/27/24)</t>
  </si>
  <si>
    <t>QPR (09/05/2024)</t>
  </si>
  <si>
    <t>Changing the Narrative of Suicide by Addressing Suicidal Behaviors in Nursing Facilities (09/10/2024)</t>
  </si>
  <si>
    <t>Understand the Science of Addiction and Recovery (09/19/2024)</t>
  </si>
  <si>
    <t>QPR (10/09/2024)</t>
  </si>
  <si>
    <t>Assessment and Initial Management of Suicidal Ideation Across Long Term Care Settings (10/15/2024)</t>
  </si>
  <si>
    <t>Understanding Co-occurring Disorders (An Introduction to Co-occurring Disorders) (10/17/2024)</t>
  </si>
  <si>
    <t>An Introduction to Trauma-informed Care (10/22/2024)</t>
  </si>
  <si>
    <t>An Easy Pill to Swallow: Nonpharmacological Interventions for Long-Term Care Residents (10/29/2024)</t>
  </si>
  <si>
    <t>Preventing Compassion from Becoming Fatigue: Self-Care Tips for Nursing Facility Staff (11/7/24)</t>
  </si>
  <si>
    <t xml:space="preserve">Understanding PTSD: A Brief Overview (11/12/24) </t>
  </si>
  <si>
    <t xml:space="preserve">Tools for Creating Calm in. Times of Distress Part 1 (11/14/24) </t>
  </si>
  <si>
    <t>QPR (11/19/24)</t>
  </si>
  <si>
    <t>Tools for Creating Calm in Times of Distress - Part 2 (11/21/24)</t>
  </si>
  <si>
    <t>QPR (12/10/24)</t>
  </si>
  <si>
    <t>Supporting Healing from Grief and Loss in Nursing Facilities (12/12/24)</t>
  </si>
  <si>
    <t>Holiday Seasonal Depression: Ways to Support Nursing Facility Residents (12/17/24)</t>
  </si>
  <si>
    <t>Treating Older Adults in Recovery - Grief and Complex Bereavement in Older Adults (12/19/24)</t>
  </si>
  <si>
    <t>January 2025 data</t>
  </si>
  <si>
    <t>Question, Persuade, Refer (QPR) (03/05/2025)</t>
  </si>
  <si>
    <t>Person-centered Care in Nursing Facilities: How to Make it Work (03/11/2025)</t>
  </si>
  <si>
    <t>Question, Persuade, Refer (QPR) (03/13/2025)</t>
  </si>
  <si>
    <t>An Overview of Bipolar Disorders for Nursing Facility Staff (03/18/2025)</t>
  </si>
  <si>
    <t>Addiction 101—What It Is and What It Isn’t (03/20/2025)</t>
  </si>
  <si>
    <t>Changing Behaviors from a Rolling Boil to a Simmer- De-escalation Strategies to Defuse Difficult Situations (03/25/2025)</t>
  </si>
  <si>
    <t>Question, Persuade, Refer (QPR)  (02/06/2025)</t>
  </si>
  <si>
    <t>Mental Health 101 &amp; Suicide Prevention (02/19/2025)</t>
  </si>
  <si>
    <t>Utilizing In-service Toolkits to Expand Behavioral Health Capacity (02/25/2025)</t>
  </si>
  <si>
    <t>Question, Persuade, Refer (QPR) (04/08/2025)</t>
  </si>
  <si>
    <t>An Introduction to Trauma-Informed Care (04/10/2025)</t>
  </si>
  <si>
    <t>An Easy Pill to Swallow: Nonpharmacological Interventions for Long-Term Care Residents (04/17/205)</t>
  </si>
  <si>
    <t>Building A Better Suicide Risk Assessment: The Nuts and Bolts of the Columbia Protocol C-SSRS (04/23/2025)</t>
  </si>
  <si>
    <t>Question, Persuade, Refer (QPR) (04/29/2025)</t>
  </si>
  <si>
    <t>Effective Strategies for Managing Psychotropic Medications in Nursing Facilities: Navigating New CMS Requirements of Participation (04/15/2025)</t>
  </si>
  <si>
    <t>Question, Persuade, Refer (QPR) (05/06/2025)</t>
  </si>
  <si>
    <t>Mental Health 101, Suicide Prevention &amp; De-escalation Strategies (05/13/2025)</t>
  </si>
  <si>
    <t>Implementing a Behavioral Health Ambassador Program (05/15/2025)</t>
  </si>
  <si>
    <t>An Introduction to Trauma-informed Care (05/21/2025)</t>
  </si>
  <si>
    <t>Understanding Co-occurring Disorders: A Brief Overview (05/22/2025)</t>
  </si>
  <si>
    <t>Question, Persuade, Refer (QPR) (05/28/2025)</t>
  </si>
  <si>
    <t>June 2025 data</t>
  </si>
  <si>
    <t>Question, Persuade, Refer (QPR) (07/10/2025)</t>
  </si>
  <si>
    <t>Understanding Schizophrenia and Psychosis: Clinical Clues and Communication Tools (07/17/2025)</t>
  </si>
  <si>
    <t>Not Just Schizophrenia: Exploring Psychosis Tied to Substance Use in Nursing Facilities (07/22/2025)</t>
  </si>
  <si>
    <t>Understanding Psychosis: Differentiating Schizophrenia from Psychotic Symptoms due to Medical and Neurological Conditions in Nursing Facilities (07/24/2025)</t>
  </si>
  <si>
    <t>Non-pharmacological Interventions for Psychotic Symptoms due to Schizophrenia and other Psychotic Disorders (07/29/2025)</t>
  </si>
  <si>
    <t>Question, Persuade, Refer (QPR) (07/30/2025)</t>
  </si>
  <si>
    <t>Question, Persuade, Refer (QPR) (08/07/2025)</t>
  </si>
  <si>
    <t>An Introduction to Trauma-Informed Care (08/12/25)</t>
  </si>
  <si>
    <t>Beyond Consults- Embedding Behavioral Health in Post-Acute Care Teams (08/14/25)</t>
  </si>
  <si>
    <t xml:space="preserve">Empowering Nursing Facility Care with CLAS! (Culturally and Linguistically Appropriate Services (08/19/25) </t>
  </si>
  <si>
    <t>Empathy and Compassion: Foundations for Person-Centered, Staff-Sustaining Care (08/26/25)</t>
  </si>
  <si>
    <t>Opioid Stewardship in Skilled Nursing Facilities: Preventing Opioid Use Disorder (OUD)  Before it Starts (08/28/25)</t>
  </si>
  <si>
    <t xml:space="preserve"> 11/30/2023</t>
  </si>
  <si>
    <t/>
  </si>
  <si>
    <t xml:space="preserve"> 08/27/24</t>
  </si>
  <si>
    <t>f 11/7/24</t>
  </si>
  <si>
    <t xml:space="preserve"> 11/19/24</t>
  </si>
  <si>
    <t xml:space="preserve"> 11/21/24</t>
  </si>
  <si>
    <t xml:space="preserve"> 12/10/24</t>
  </si>
  <si>
    <t xml:space="preserve"> 12/12/24</t>
  </si>
  <si>
    <t xml:space="preserve"> 12/17/24</t>
  </si>
  <si>
    <t xml:space="preserve"> 12/19/24</t>
  </si>
  <si>
    <t>04/17/205</t>
  </si>
  <si>
    <t xml:space="preserve"> 08/12/25</t>
  </si>
  <si>
    <t xml:space="preserve"> 08/14/25</t>
  </si>
  <si>
    <t xml:space="preserve"> 08/26/25</t>
  </si>
  <si>
    <t xml:space="preserve"> 08/28/25</t>
  </si>
  <si>
    <t xml:space="preserve"> 01/11/2024</t>
  </si>
  <si>
    <t xml:space="preserve"> 01/16/2024</t>
  </si>
  <si>
    <t xml:space="preserve"> 01/17/2024</t>
  </si>
  <si>
    <t xml:space="preserve"> 03/28/2024</t>
  </si>
  <si>
    <t xml:space="preserve"> 03/26/2024</t>
  </si>
  <si>
    <t xml:space="preserve"> 03/21/2024</t>
  </si>
  <si>
    <t xml:space="preserve"> 03/20/2024</t>
  </si>
  <si>
    <t xml:space="preserve"> 03/19/2024</t>
  </si>
  <si>
    <t xml:space="preserve"> 02/29/2024</t>
  </si>
  <si>
    <t xml:space="preserve"> 02/20/2024</t>
  </si>
  <si>
    <t xml:space="preserve"> 02/15/2024</t>
  </si>
  <si>
    <t xml:space="preserve"> 02/13/2024</t>
  </si>
  <si>
    <t xml:space="preserve"> 02/08/2024</t>
  </si>
  <si>
    <t xml:space="preserve"> 01/31/2024</t>
  </si>
  <si>
    <t xml:space="preserve"> 01/18/2024</t>
  </si>
  <si>
    <t>Total Organizations</t>
  </si>
  <si>
    <t>Total Nursing Organizations</t>
  </si>
  <si>
    <t xml:space="preserve">Total Organizations </t>
  </si>
  <si>
    <t>Total Non Nursing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</si>
</sst>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ptos Narrow"/>
      <family val="2"/>
      <scheme val="minor"/>
    </font>
    <font>
      <sz val="11"/>
      <color rgb="FFFF0000"/>
      <name val="Arial"/>
      <family val="2"/>
    </font>
    <font>
      <b/>
      <sz val="11"/>
      <color theme="1"/>
      <name val="Aptos Narrow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4" fillId="0" borderId="0" xfId="1" applyFont="1"/>
    <xf numFmtId="0" fontId="4" fillId="0" borderId="0" xfId="1" quotePrefix="1" applyFont="1" applyAlignment="1">
      <alignment horizontal="center"/>
    </xf>
    <xf numFmtId="0" fontId="4" fillId="0" borderId="0" xfId="1" quotePrefix="1" applyFont="1" applyAlignment="1">
      <alignment horizontal="center" vertical="center"/>
    </xf>
    <xf numFmtId="17" fontId="5" fillId="0" borderId="0" xfId="1" quotePrefix="1" applyNumberFormat="1" applyFont="1" applyAlignment="1">
      <alignment horizontal="center"/>
    </xf>
    <xf numFmtId="0" fontId="5" fillId="0" borderId="0" xfId="1" quotePrefix="1" applyFont="1" applyAlignment="1">
      <alignment horizontal="center"/>
    </xf>
    <xf numFmtId="0" fontId="6" fillId="0" borderId="0" xfId="1" applyFont="1"/>
    <xf numFmtId="0" fontId="7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3" fillId="0" borderId="0" xfId="1" applyAlignment="1">
      <alignment horizont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17" fontId="4" fillId="0" borderId="0" xfId="1" quotePrefix="1" applyNumberFormat="1" applyFont="1"/>
    <xf numFmtId="0" fontId="4" fillId="0" borderId="0" xfId="1" quotePrefix="1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1" applyFont="1"/>
    <xf numFmtId="0" fontId="9" fillId="0" borderId="0" xfId="1" applyFont="1" applyAlignment="1">
      <alignment horizont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9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17" fontId="12" fillId="0" borderId="0" xfId="0" quotePrefix="1" applyNumberFormat="1" applyFont="1" applyAlignment="1">
      <alignment vertical="center" wrapText="1"/>
    </xf>
    <xf numFmtId="0" fontId="6" fillId="0" borderId="0" xfId="1" applyFont="1" applyAlignment="1">
      <alignment horizont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0" fontId="14" fillId="0" borderId="0" xfId="1" applyFont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6" fillId="2" borderId="0" xfId="1" applyFont="1" applyFill="1"/>
    <xf numFmtId="0" fontId="9" fillId="0" borderId="0" xfId="0" applyFont="1" applyAlignment="1">
      <alignment horizontal="center" vertical="center" wrapText="1"/>
    </xf>
    <xf numFmtId="1" fontId="6" fillId="2" borderId="0" xfId="1" applyNumberFormat="1" applyFont="1" applyFill="1" applyAlignment="1">
      <alignment horizontal="center"/>
    </xf>
    <xf numFmtId="1" fontId="14" fillId="0" borderId="0" xfId="1" applyNumberFormat="1" applyFont="1" applyAlignment="1">
      <alignment horizontal="center"/>
    </xf>
    <xf numFmtId="0" fontId="10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D7F0C5FC-47DE-4972-BDE6-91D6EA2857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C7C6-7F53-480B-B5AA-86B748686024}">
  <dimension ref="A2:AD16"/>
  <sheetViews>
    <sheetView workbookViewId="0">
      <selection activeCell="B13" sqref="B13:AD13"/>
    </sheetView>
  </sheetViews>
  <sheetFormatPr defaultColWidth="8.88671875" defaultRowHeight="14.4" x14ac:dyDescent="0.3"/>
  <cols>
    <col min="1" max="1" width="10.44140625" bestFit="1" customWidth="1"/>
    <col min="2" max="2" width="10.109375" bestFit="1" customWidth="1"/>
    <col min="3" max="3" width="11.109375" bestFit="1" customWidth="1"/>
    <col min="4" max="4" width="10.109375" bestFit="1" customWidth="1"/>
    <col min="5" max="5" width="13.33203125" bestFit="1" customWidth="1"/>
    <col min="6" max="6" width="17.44140625" bestFit="1" customWidth="1"/>
    <col min="7" max="7" width="14.44140625" style="26" bestFit="1" customWidth="1"/>
    <col min="8" max="8" width="16.88671875" style="26" bestFit="1" customWidth="1"/>
    <col min="9" max="9" width="16.6640625" style="26" bestFit="1" customWidth="1"/>
    <col min="10" max="10" width="14.109375" bestFit="1" customWidth="1"/>
    <col min="11" max="11" width="16.109375" bestFit="1" customWidth="1"/>
    <col min="12" max="12" width="12.44140625" bestFit="1" customWidth="1"/>
    <col min="13" max="13" width="10.6640625" bestFit="1" customWidth="1"/>
    <col min="14" max="14" width="10.109375" style="26" bestFit="1" customWidth="1"/>
    <col min="15" max="15" width="11.109375" bestFit="1" customWidth="1"/>
    <col min="16" max="16" width="10.109375" bestFit="1" customWidth="1"/>
    <col min="17" max="17" width="13.33203125" bestFit="1" customWidth="1"/>
    <col min="18" max="18" width="17.44140625" bestFit="1" customWidth="1"/>
    <col min="19" max="19" width="14.44140625" bestFit="1" customWidth="1"/>
    <col min="20" max="20" width="16.88671875" bestFit="1" customWidth="1"/>
    <col min="21" max="21" width="16.6640625" bestFit="1" customWidth="1"/>
    <col min="22" max="22" width="14.109375" bestFit="1" customWidth="1"/>
    <col min="23" max="23" width="9.44140625" bestFit="1" customWidth="1"/>
    <col min="24" max="24" width="11.88671875" bestFit="1" customWidth="1"/>
    <col min="25" max="25" width="10.33203125" bestFit="1" customWidth="1"/>
    <col min="26" max="26" width="9.88671875" bestFit="1" customWidth="1"/>
    <col min="27" max="27" width="10.6640625" bestFit="1" customWidth="1"/>
    <col min="28" max="28" width="10.33203125" bestFit="1" customWidth="1"/>
    <col min="29" max="29" width="10.109375" bestFit="1" customWidth="1"/>
  </cols>
  <sheetData>
    <row r="2" spans="1:30" ht="15.6" x14ac:dyDescent="0.3">
      <c r="A2" s="1" t="s">
        <v>2</v>
      </c>
      <c r="B2" s="14" t="s">
        <v>28</v>
      </c>
      <c r="C2" s="15" t="s">
        <v>29</v>
      </c>
      <c r="D2" s="15" t="s">
        <v>30</v>
      </c>
      <c r="E2" s="15" t="s">
        <v>31</v>
      </c>
      <c r="F2" s="15" t="s">
        <v>32</v>
      </c>
      <c r="G2" s="2" t="s">
        <v>33</v>
      </c>
      <c r="H2" s="2" t="s">
        <v>34</v>
      </c>
      <c r="I2" s="2" t="s">
        <v>35</v>
      </c>
      <c r="J2" s="15" t="s">
        <v>36</v>
      </c>
      <c r="K2" s="15" t="s">
        <v>37</v>
      </c>
      <c r="L2" s="15" t="s">
        <v>38</v>
      </c>
      <c r="M2" s="15" t="s">
        <v>39</v>
      </c>
      <c r="N2" s="2" t="s">
        <v>40</v>
      </c>
      <c r="O2" s="2" t="s">
        <v>3</v>
      </c>
      <c r="P2" s="2" t="s">
        <v>4</v>
      </c>
      <c r="Q2" s="3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  <c r="W2" s="4" t="s">
        <v>11</v>
      </c>
      <c r="X2" s="5" t="s">
        <v>12</v>
      </c>
      <c r="Y2" s="5" t="s">
        <v>13</v>
      </c>
      <c r="Z2" s="5" t="s">
        <v>14</v>
      </c>
      <c r="AA2" s="4" t="s">
        <v>15</v>
      </c>
      <c r="AB2" s="5" t="s">
        <v>16</v>
      </c>
      <c r="AC2" s="5" t="s">
        <v>17</v>
      </c>
      <c r="AD2" s="5" t="s">
        <v>47</v>
      </c>
    </row>
    <row r="3" spans="1:30" ht="15.6" x14ac:dyDescent="0.3">
      <c r="A3" s="6" t="s">
        <v>18</v>
      </c>
      <c r="B3">
        <v>6</v>
      </c>
      <c r="C3" s="43">
        <v>9</v>
      </c>
      <c r="D3" s="45">
        <v>13.333333333333334</v>
      </c>
      <c r="E3" s="34">
        <v>14</v>
      </c>
      <c r="F3" s="34">
        <v>14</v>
      </c>
      <c r="G3" s="34">
        <v>12</v>
      </c>
      <c r="H3" s="44">
        <v>8</v>
      </c>
      <c r="I3" s="26">
        <v>14</v>
      </c>
      <c r="J3" s="26">
        <v>17</v>
      </c>
      <c r="K3" s="26">
        <v>12</v>
      </c>
      <c r="L3" s="26">
        <v>16</v>
      </c>
      <c r="M3" s="26">
        <v>23</v>
      </c>
      <c r="N3" s="26">
        <v>31</v>
      </c>
      <c r="O3" s="7">
        <v>15</v>
      </c>
      <c r="P3" s="8">
        <v>18</v>
      </c>
      <c r="Q3" s="9">
        <v>20</v>
      </c>
      <c r="R3" s="9">
        <v>15</v>
      </c>
      <c r="S3" s="9">
        <v>12</v>
      </c>
      <c r="T3" s="9">
        <v>18</v>
      </c>
      <c r="U3" s="9">
        <v>11</v>
      </c>
      <c r="V3" s="9">
        <v>23</v>
      </c>
      <c r="W3" s="9">
        <v>33</v>
      </c>
      <c r="X3" s="9">
        <v>39</v>
      </c>
      <c r="Y3" s="9">
        <v>145</v>
      </c>
      <c r="Z3" s="9">
        <v>54</v>
      </c>
      <c r="AA3" s="9">
        <v>51</v>
      </c>
      <c r="AB3" s="9">
        <v>111</v>
      </c>
      <c r="AC3" s="9">
        <v>81</v>
      </c>
      <c r="AD3" s="9">
        <v>92</v>
      </c>
    </row>
    <row r="4" spans="1:30" ht="15.6" x14ac:dyDescent="0.3">
      <c r="A4" s="6" t="s">
        <v>19</v>
      </c>
      <c r="B4">
        <v>10</v>
      </c>
      <c r="C4" s="43">
        <v>13</v>
      </c>
      <c r="D4" s="45">
        <v>14.666666666666666</v>
      </c>
      <c r="E4" s="34">
        <v>18</v>
      </c>
      <c r="F4" s="34">
        <v>11</v>
      </c>
      <c r="G4" s="34">
        <v>15</v>
      </c>
      <c r="H4" s="44">
        <v>7</v>
      </c>
      <c r="I4" s="26">
        <v>16</v>
      </c>
      <c r="J4" s="26">
        <v>21</v>
      </c>
      <c r="K4" s="26">
        <v>23</v>
      </c>
      <c r="L4" s="26">
        <v>29</v>
      </c>
      <c r="M4" s="26">
        <v>22</v>
      </c>
      <c r="N4" s="26">
        <v>29</v>
      </c>
      <c r="O4" s="7">
        <v>29</v>
      </c>
      <c r="P4" s="8">
        <v>28</v>
      </c>
      <c r="Q4" s="9">
        <v>20</v>
      </c>
      <c r="R4" s="9">
        <v>10</v>
      </c>
      <c r="S4" s="9">
        <v>50</v>
      </c>
      <c r="T4" s="9">
        <v>37</v>
      </c>
      <c r="U4" s="9">
        <v>13</v>
      </c>
      <c r="V4" s="9">
        <v>34</v>
      </c>
      <c r="W4" s="9">
        <v>41</v>
      </c>
      <c r="X4" s="9">
        <v>41</v>
      </c>
      <c r="Y4" s="9">
        <v>119</v>
      </c>
      <c r="Z4" s="9">
        <v>67</v>
      </c>
      <c r="AA4" s="9">
        <v>100</v>
      </c>
      <c r="AB4" s="9">
        <v>98</v>
      </c>
      <c r="AC4" s="9">
        <v>77</v>
      </c>
      <c r="AD4" s="9">
        <v>115</v>
      </c>
    </row>
    <row r="5" spans="1:30" ht="15.6" x14ac:dyDescent="0.3">
      <c r="A5" s="6" t="s">
        <v>20</v>
      </c>
      <c r="B5">
        <v>11</v>
      </c>
      <c r="C5" s="43">
        <v>14</v>
      </c>
      <c r="D5" s="45">
        <v>17</v>
      </c>
      <c r="E5" s="34">
        <v>19</v>
      </c>
      <c r="F5" s="34">
        <v>14</v>
      </c>
      <c r="G5" s="34">
        <v>34</v>
      </c>
      <c r="H5" s="44">
        <v>15</v>
      </c>
      <c r="I5" s="26">
        <v>12</v>
      </c>
      <c r="J5" s="26">
        <v>17</v>
      </c>
      <c r="K5" s="26">
        <v>21</v>
      </c>
      <c r="L5" s="26">
        <v>22</v>
      </c>
      <c r="M5" s="26">
        <v>42</v>
      </c>
      <c r="N5" s="26">
        <v>19</v>
      </c>
      <c r="O5" s="10">
        <v>12</v>
      </c>
      <c r="P5" s="8">
        <v>40</v>
      </c>
      <c r="Q5" s="9">
        <v>31</v>
      </c>
      <c r="R5" s="9">
        <v>17</v>
      </c>
      <c r="S5" s="9">
        <v>33</v>
      </c>
      <c r="T5" s="9">
        <v>39</v>
      </c>
      <c r="U5" s="9">
        <v>10</v>
      </c>
      <c r="V5" s="9">
        <v>42</v>
      </c>
      <c r="W5" s="9">
        <v>69</v>
      </c>
      <c r="X5" s="9">
        <v>62</v>
      </c>
      <c r="Y5" s="9">
        <v>243</v>
      </c>
      <c r="Z5" s="9">
        <v>63</v>
      </c>
      <c r="AA5" s="9">
        <v>113</v>
      </c>
      <c r="AB5" s="9">
        <v>141</v>
      </c>
      <c r="AC5" s="9">
        <v>81</v>
      </c>
      <c r="AD5" s="9">
        <v>153</v>
      </c>
    </row>
    <row r="6" spans="1:30" ht="15.6" x14ac:dyDescent="0.3">
      <c r="A6" s="6" t="s">
        <v>21</v>
      </c>
      <c r="B6">
        <v>30</v>
      </c>
      <c r="C6" s="43">
        <v>33</v>
      </c>
      <c r="D6" s="45">
        <v>49</v>
      </c>
      <c r="E6" s="34">
        <v>37</v>
      </c>
      <c r="F6" s="34">
        <v>44</v>
      </c>
      <c r="G6" s="34">
        <v>69</v>
      </c>
      <c r="H6" s="44">
        <v>28</v>
      </c>
      <c r="I6" s="26">
        <v>14</v>
      </c>
      <c r="J6" s="26">
        <v>27</v>
      </c>
      <c r="K6" s="26">
        <v>39</v>
      </c>
      <c r="L6" s="26">
        <v>81</v>
      </c>
      <c r="M6" s="26">
        <v>37</v>
      </c>
      <c r="N6" s="26">
        <v>136</v>
      </c>
      <c r="O6" s="10">
        <v>85</v>
      </c>
      <c r="P6" s="8">
        <v>65</v>
      </c>
      <c r="Q6" s="9">
        <v>95</v>
      </c>
      <c r="R6" s="9">
        <v>40</v>
      </c>
      <c r="S6" s="9">
        <v>65</v>
      </c>
      <c r="T6" s="9">
        <v>107</v>
      </c>
      <c r="U6" s="9">
        <v>53</v>
      </c>
      <c r="V6" s="9">
        <v>96</v>
      </c>
      <c r="W6" s="9">
        <v>153</v>
      </c>
      <c r="X6" s="9">
        <v>151</v>
      </c>
      <c r="Y6" s="9">
        <v>663</v>
      </c>
      <c r="Z6" s="9">
        <v>247</v>
      </c>
      <c r="AA6" s="9">
        <v>316</v>
      </c>
      <c r="AB6" s="9">
        <v>416</v>
      </c>
      <c r="AC6" s="9">
        <v>247</v>
      </c>
      <c r="AD6" s="9">
        <v>489</v>
      </c>
    </row>
    <row r="7" spans="1:30" ht="15.6" x14ac:dyDescent="0.3">
      <c r="A7" s="6" t="s">
        <v>22</v>
      </c>
      <c r="B7">
        <v>19</v>
      </c>
      <c r="C7" s="43">
        <v>22</v>
      </c>
      <c r="D7" s="45">
        <v>38</v>
      </c>
      <c r="E7" s="34">
        <v>46</v>
      </c>
      <c r="F7" s="34">
        <v>48</v>
      </c>
      <c r="G7" s="34">
        <v>44</v>
      </c>
      <c r="H7" s="44">
        <v>32</v>
      </c>
      <c r="I7" s="26">
        <v>34</v>
      </c>
      <c r="J7" s="26">
        <v>39</v>
      </c>
      <c r="K7" s="26">
        <v>29</v>
      </c>
      <c r="L7" s="26">
        <v>31</v>
      </c>
      <c r="M7" s="26">
        <v>79</v>
      </c>
      <c r="N7" s="26">
        <v>78</v>
      </c>
      <c r="O7" s="10">
        <v>83</v>
      </c>
      <c r="P7" s="8">
        <v>75</v>
      </c>
      <c r="Q7" s="9">
        <v>76</v>
      </c>
      <c r="R7" s="9">
        <v>21</v>
      </c>
      <c r="S7" s="9">
        <v>85</v>
      </c>
      <c r="T7" s="9">
        <v>70</v>
      </c>
      <c r="U7" s="9">
        <v>23</v>
      </c>
      <c r="V7" s="9">
        <v>64</v>
      </c>
      <c r="W7" s="9">
        <v>113</v>
      </c>
      <c r="X7" s="9">
        <v>151</v>
      </c>
      <c r="Y7" s="9">
        <v>523</v>
      </c>
      <c r="Z7" s="9">
        <v>140</v>
      </c>
      <c r="AA7" s="9">
        <v>334</v>
      </c>
      <c r="AB7" s="9">
        <v>372</v>
      </c>
      <c r="AC7" s="9">
        <v>188</v>
      </c>
      <c r="AD7" s="9">
        <v>346</v>
      </c>
    </row>
    <row r="8" spans="1:30" ht="15.6" x14ac:dyDescent="0.3">
      <c r="A8" s="6" t="s">
        <v>23</v>
      </c>
      <c r="B8">
        <v>11</v>
      </c>
      <c r="C8" s="43">
        <v>14</v>
      </c>
      <c r="D8" s="45">
        <v>10</v>
      </c>
      <c r="E8" s="34">
        <v>10</v>
      </c>
      <c r="F8" s="34">
        <v>10</v>
      </c>
      <c r="G8" s="34">
        <v>30</v>
      </c>
      <c r="H8" s="44">
        <v>20</v>
      </c>
      <c r="I8" s="26">
        <v>16</v>
      </c>
      <c r="J8" s="26">
        <v>17</v>
      </c>
      <c r="K8" s="26">
        <v>19</v>
      </c>
      <c r="L8" s="26">
        <v>27</v>
      </c>
      <c r="M8" s="26">
        <v>26</v>
      </c>
      <c r="N8" s="26">
        <v>25</v>
      </c>
      <c r="O8" s="10">
        <v>45</v>
      </c>
      <c r="P8" s="8">
        <v>21</v>
      </c>
      <c r="Q8" s="9">
        <v>28</v>
      </c>
      <c r="R8" s="9">
        <v>16</v>
      </c>
      <c r="S8" s="9">
        <v>12</v>
      </c>
      <c r="T8" s="9">
        <v>19</v>
      </c>
      <c r="U8" s="9">
        <v>9</v>
      </c>
      <c r="V8" s="9">
        <v>20</v>
      </c>
      <c r="W8" s="9">
        <v>51</v>
      </c>
      <c r="X8" s="9">
        <v>30</v>
      </c>
      <c r="Y8" s="9">
        <v>98</v>
      </c>
      <c r="Z8" s="9">
        <v>34</v>
      </c>
      <c r="AA8" s="9">
        <v>63</v>
      </c>
      <c r="AB8" s="9">
        <v>107</v>
      </c>
      <c r="AC8" s="9">
        <v>39</v>
      </c>
      <c r="AD8" s="9">
        <v>104</v>
      </c>
    </row>
    <row r="9" spans="1:30" ht="15.6" x14ac:dyDescent="0.3">
      <c r="A9" s="6" t="s">
        <v>24</v>
      </c>
      <c r="B9">
        <v>10</v>
      </c>
      <c r="C9" s="43">
        <v>13</v>
      </c>
      <c r="D9" s="45">
        <v>11</v>
      </c>
      <c r="E9" s="34">
        <v>17</v>
      </c>
      <c r="F9" s="34">
        <v>9</v>
      </c>
      <c r="G9" s="34">
        <v>12</v>
      </c>
      <c r="H9" s="44">
        <v>8</v>
      </c>
      <c r="I9" s="26">
        <v>10</v>
      </c>
      <c r="J9" s="26">
        <v>13</v>
      </c>
      <c r="K9" s="26">
        <v>22</v>
      </c>
      <c r="L9" s="26">
        <v>25</v>
      </c>
      <c r="M9" s="26">
        <v>23</v>
      </c>
      <c r="N9" s="26">
        <v>43</v>
      </c>
      <c r="O9" s="10">
        <v>27</v>
      </c>
      <c r="P9" s="8">
        <v>45</v>
      </c>
      <c r="Q9" s="9">
        <v>44</v>
      </c>
      <c r="R9" s="9">
        <v>13</v>
      </c>
      <c r="S9" s="9">
        <v>28</v>
      </c>
      <c r="T9" s="9">
        <v>35</v>
      </c>
      <c r="U9" s="9">
        <v>44</v>
      </c>
      <c r="V9" s="9">
        <v>44</v>
      </c>
      <c r="W9" s="9">
        <v>67</v>
      </c>
      <c r="X9" s="9">
        <v>72</v>
      </c>
      <c r="Y9" s="9">
        <v>125</v>
      </c>
      <c r="Z9" s="9">
        <v>36</v>
      </c>
      <c r="AA9" s="9">
        <v>37</v>
      </c>
      <c r="AB9" s="9">
        <v>140</v>
      </c>
      <c r="AC9" s="9">
        <v>57</v>
      </c>
      <c r="AD9" s="9">
        <v>68</v>
      </c>
    </row>
    <row r="10" spans="1:30" ht="15.6" x14ac:dyDescent="0.3">
      <c r="A10" s="6" t="s">
        <v>25</v>
      </c>
      <c r="B10">
        <v>17</v>
      </c>
      <c r="C10" s="43">
        <v>20</v>
      </c>
      <c r="D10" s="45">
        <v>21</v>
      </c>
      <c r="E10" s="34">
        <v>30</v>
      </c>
      <c r="F10" s="34">
        <v>27</v>
      </c>
      <c r="G10" s="34">
        <v>29</v>
      </c>
      <c r="H10" s="44">
        <v>7</v>
      </c>
      <c r="I10" s="26">
        <v>19</v>
      </c>
      <c r="J10" s="26">
        <v>20</v>
      </c>
      <c r="K10" s="26">
        <v>16</v>
      </c>
      <c r="L10" s="26">
        <v>43</v>
      </c>
      <c r="M10" s="26">
        <v>54</v>
      </c>
      <c r="N10" s="26">
        <v>60</v>
      </c>
      <c r="O10" s="10">
        <v>132</v>
      </c>
      <c r="P10" s="8">
        <v>35</v>
      </c>
      <c r="Q10" s="9">
        <v>59</v>
      </c>
      <c r="R10" s="9">
        <v>19</v>
      </c>
      <c r="S10" s="9">
        <v>22</v>
      </c>
      <c r="T10" s="9">
        <v>38</v>
      </c>
      <c r="U10" s="9">
        <v>22</v>
      </c>
      <c r="V10" s="9">
        <v>27</v>
      </c>
      <c r="W10" s="9">
        <v>44</v>
      </c>
      <c r="X10" s="9">
        <v>55</v>
      </c>
      <c r="Y10" s="9">
        <v>113</v>
      </c>
      <c r="Z10" s="9">
        <v>71</v>
      </c>
      <c r="AA10" s="9">
        <v>55</v>
      </c>
      <c r="AB10" s="9">
        <v>53</v>
      </c>
      <c r="AC10" s="9">
        <v>71</v>
      </c>
      <c r="AD10" s="9">
        <v>40</v>
      </c>
    </row>
    <row r="11" spans="1:30" ht="15.6" x14ac:dyDescent="0.3">
      <c r="A11" s="6" t="s">
        <v>26</v>
      </c>
      <c r="B11">
        <v>22</v>
      </c>
      <c r="C11" s="43">
        <v>25</v>
      </c>
      <c r="D11" s="45">
        <v>37.666666666666664</v>
      </c>
      <c r="E11" s="34">
        <v>52</v>
      </c>
      <c r="F11" s="34">
        <v>35</v>
      </c>
      <c r="G11" s="34">
        <v>26</v>
      </c>
      <c r="H11" s="44">
        <v>24</v>
      </c>
      <c r="I11" s="26">
        <v>20</v>
      </c>
      <c r="J11" s="26">
        <v>29</v>
      </c>
      <c r="K11" s="26">
        <v>30</v>
      </c>
      <c r="L11" s="26">
        <v>31</v>
      </c>
      <c r="M11" s="26">
        <v>31</v>
      </c>
      <c r="N11" s="26">
        <v>72</v>
      </c>
      <c r="O11" s="10">
        <v>41</v>
      </c>
      <c r="P11" s="8">
        <v>48</v>
      </c>
      <c r="Q11" s="9">
        <v>101</v>
      </c>
      <c r="R11" s="9">
        <v>26</v>
      </c>
      <c r="S11" s="9">
        <v>54</v>
      </c>
      <c r="T11" s="9">
        <v>30</v>
      </c>
      <c r="U11" s="9">
        <v>33</v>
      </c>
      <c r="V11" s="9">
        <v>34</v>
      </c>
      <c r="W11" s="9">
        <v>43</v>
      </c>
      <c r="X11" s="9">
        <v>76</v>
      </c>
      <c r="Y11" s="9">
        <v>134</v>
      </c>
      <c r="Z11" s="9">
        <v>57</v>
      </c>
      <c r="AA11" s="9">
        <v>77</v>
      </c>
      <c r="AB11" s="9">
        <v>98</v>
      </c>
      <c r="AC11" s="9">
        <v>74</v>
      </c>
      <c r="AD11" s="9">
        <v>50</v>
      </c>
    </row>
    <row r="12" spans="1:30" ht="15.6" x14ac:dyDescent="0.3">
      <c r="A12" s="6" t="s">
        <v>27</v>
      </c>
      <c r="B12">
        <v>9</v>
      </c>
      <c r="C12" s="43">
        <v>12</v>
      </c>
      <c r="D12" s="45">
        <v>15.333333333333334</v>
      </c>
      <c r="E12" s="34">
        <v>13</v>
      </c>
      <c r="F12" s="34">
        <v>18</v>
      </c>
      <c r="G12" s="34">
        <v>15</v>
      </c>
      <c r="H12" s="44">
        <v>18</v>
      </c>
      <c r="I12" s="26">
        <v>15</v>
      </c>
      <c r="J12" s="26">
        <v>22</v>
      </c>
      <c r="K12" s="26">
        <v>27</v>
      </c>
      <c r="L12" s="26">
        <v>29</v>
      </c>
      <c r="M12" s="26">
        <v>28</v>
      </c>
      <c r="N12" s="34">
        <v>67</v>
      </c>
      <c r="O12" s="10">
        <v>32</v>
      </c>
      <c r="P12" s="8">
        <v>6</v>
      </c>
      <c r="Q12" s="9">
        <v>40</v>
      </c>
      <c r="R12" s="9">
        <v>17</v>
      </c>
      <c r="S12" s="9">
        <v>15</v>
      </c>
      <c r="T12" s="9">
        <v>38</v>
      </c>
      <c r="U12" s="9">
        <v>15</v>
      </c>
      <c r="V12" s="9">
        <v>32</v>
      </c>
      <c r="W12" s="9">
        <v>18</v>
      </c>
      <c r="X12" s="9">
        <v>29</v>
      </c>
      <c r="Y12" s="9">
        <v>75</v>
      </c>
      <c r="Z12" s="9">
        <v>31</v>
      </c>
      <c r="AA12" s="9">
        <v>30</v>
      </c>
      <c r="AB12" s="9">
        <v>53</v>
      </c>
      <c r="AC12" s="9">
        <v>37</v>
      </c>
      <c r="AD12" s="9">
        <v>41</v>
      </c>
    </row>
    <row r="13" spans="1:30" ht="15.6" x14ac:dyDescent="0.3">
      <c r="A13" s="11"/>
      <c r="B13" s="37">
        <f t="shared" ref="B13:D13" si="0">SUM(B3:B12)</f>
        <v>145</v>
      </c>
      <c r="C13" s="37">
        <f t="shared" si="0"/>
        <v>175</v>
      </c>
      <c r="D13" s="46">
        <f t="shared" si="0"/>
        <v>227</v>
      </c>
      <c r="E13" s="37">
        <f>SUM(E3:E12)</f>
        <v>256</v>
      </c>
      <c r="F13" s="37">
        <f>SUM(F3:F12)</f>
        <v>230</v>
      </c>
      <c r="G13" s="37">
        <f>SUM(G3:G12)</f>
        <v>286</v>
      </c>
      <c r="H13" s="37">
        <f t="shared" ref="H13:N13" si="1">SUM(H3:H12)</f>
        <v>167</v>
      </c>
      <c r="I13" s="37">
        <f t="shared" si="1"/>
        <v>170</v>
      </c>
      <c r="J13" s="37">
        <f t="shared" si="1"/>
        <v>222</v>
      </c>
      <c r="K13" s="37">
        <f t="shared" si="1"/>
        <v>238</v>
      </c>
      <c r="L13" s="37">
        <f t="shared" si="1"/>
        <v>334</v>
      </c>
      <c r="M13" s="37">
        <f t="shared" si="1"/>
        <v>365</v>
      </c>
      <c r="N13" s="37">
        <f t="shared" si="1"/>
        <v>560</v>
      </c>
      <c r="O13" s="12">
        <f t="shared" ref="O13:X13" si="2">SUM(O3:O12)</f>
        <v>501</v>
      </c>
      <c r="P13" s="12">
        <f t="shared" si="2"/>
        <v>381</v>
      </c>
      <c r="Q13" s="12">
        <f t="shared" si="2"/>
        <v>514</v>
      </c>
      <c r="R13" s="12">
        <f t="shared" si="2"/>
        <v>194</v>
      </c>
      <c r="S13" s="12">
        <f t="shared" si="2"/>
        <v>376</v>
      </c>
      <c r="T13" s="13">
        <f t="shared" si="2"/>
        <v>431</v>
      </c>
      <c r="U13" s="13">
        <f t="shared" si="2"/>
        <v>233</v>
      </c>
      <c r="V13" s="13">
        <f t="shared" si="2"/>
        <v>416</v>
      </c>
      <c r="W13" s="13">
        <f t="shared" si="2"/>
        <v>632</v>
      </c>
      <c r="X13" s="13">
        <f t="shared" si="2"/>
        <v>706</v>
      </c>
      <c r="Y13" s="13">
        <v>2238</v>
      </c>
      <c r="Z13" s="13">
        <f>SUM(Z3:Z12)</f>
        <v>800</v>
      </c>
      <c r="AA13" s="13">
        <f>SUM(AA3:AA12)</f>
        <v>1176</v>
      </c>
      <c r="AB13" s="13">
        <f>SUM(AB3:AB12)</f>
        <v>1589</v>
      </c>
      <c r="AC13" s="13">
        <f>SUM(AC3:AC12)</f>
        <v>952</v>
      </c>
      <c r="AD13" s="13">
        <f>SUM(AD3:AD12)</f>
        <v>1498</v>
      </c>
    </row>
    <row r="14" spans="1:30" x14ac:dyDescent="0.3">
      <c r="G14" s="36"/>
    </row>
    <row r="16" spans="1:30" x14ac:dyDescent="0.3">
      <c r="A16" t="s">
        <v>188</v>
      </c>
      <c r="C16">
        <f>SUM(B13:AD13)</f>
        <v>16012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2B40-9D8D-4F14-83F0-C88B61FD1068}">
  <dimension ref="A1:W128"/>
  <sheetViews>
    <sheetView topLeftCell="A18" zoomScale="116" workbookViewId="0">
      <selection activeCell="B3" sqref="B3"/>
    </sheetView>
  </sheetViews>
  <sheetFormatPr defaultColWidth="8.88671875" defaultRowHeight="14.4" x14ac:dyDescent="0.3"/>
  <cols>
    <col min="1" max="1" width="11.5546875" style="29" bestFit="1" customWidth="1"/>
    <col min="2" max="2" width="36.6640625" style="31" customWidth="1"/>
    <col min="3" max="3" width="9.44140625" style="24" customWidth="1"/>
    <col min="4" max="11" width="9.33203125" style="24" bestFit="1" customWidth="1"/>
    <col min="12" max="12" width="10.44140625" style="24" bestFit="1" customWidth="1"/>
    <col min="13" max="13" width="5.44140625" style="27" bestFit="1" customWidth="1"/>
    <col min="14" max="16384" width="8.88671875" style="27"/>
  </cols>
  <sheetData>
    <row r="1" spans="1:23" s="18" customFormat="1" ht="15" customHeight="1" x14ac:dyDescent="0.3">
      <c r="A1" s="47" t="s">
        <v>41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23" s="18" customFormat="1" ht="13.8" x14ac:dyDescent="0.3">
      <c r="A2" s="28" t="s">
        <v>0</v>
      </c>
      <c r="B2" s="30" t="s">
        <v>1</v>
      </c>
      <c r="C2" s="16" t="s">
        <v>18</v>
      </c>
      <c r="D2" s="16" t="s">
        <v>19</v>
      </c>
      <c r="E2" s="16" t="s">
        <v>20</v>
      </c>
      <c r="F2" s="16" t="s">
        <v>21</v>
      </c>
      <c r="G2" s="16" t="s">
        <v>22</v>
      </c>
      <c r="H2" s="16" t="s">
        <v>23</v>
      </c>
      <c r="I2" s="16" t="s">
        <v>24</v>
      </c>
      <c r="J2" s="16" t="s">
        <v>25</v>
      </c>
      <c r="K2" s="16" t="s">
        <v>26</v>
      </c>
      <c r="L2" s="16" t="s">
        <v>27</v>
      </c>
      <c r="M2" s="17" t="s">
        <v>46</v>
      </c>
    </row>
    <row r="3" spans="1:23" s="18" customFormat="1" ht="27.6" x14ac:dyDescent="0.3">
      <c r="A3" s="42">
        <v>45232</v>
      </c>
      <c r="B3" s="38" t="s">
        <v>76</v>
      </c>
      <c r="C3" s="39">
        <v>1</v>
      </c>
      <c r="D3" s="39">
        <v>4</v>
      </c>
      <c r="E3" s="39">
        <v>6</v>
      </c>
      <c r="F3" s="39">
        <v>4</v>
      </c>
      <c r="G3" s="39">
        <v>7</v>
      </c>
      <c r="H3" s="39">
        <v>0</v>
      </c>
      <c r="I3" s="39">
        <v>1</v>
      </c>
      <c r="J3" s="39">
        <v>3</v>
      </c>
      <c r="K3" s="39">
        <v>5</v>
      </c>
      <c r="L3" s="39">
        <v>5</v>
      </c>
      <c r="M3" s="40">
        <f t="shared" ref="M3:M34" si="0">SUM(C3:L3)</f>
        <v>36</v>
      </c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s="18" customFormat="1" ht="27.6" x14ac:dyDescent="0.3">
      <c r="A4" s="29">
        <v>45237</v>
      </c>
      <c r="B4" s="23" t="s">
        <v>77</v>
      </c>
      <c r="C4" s="16">
        <v>1</v>
      </c>
      <c r="D4" s="16">
        <v>2</v>
      </c>
      <c r="E4" s="16">
        <v>2</v>
      </c>
      <c r="F4" s="16">
        <v>2</v>
      </c>
      <c r="G4" s="16">
        <v>5</v>
      </c>
      <c r="H4" s="16">
        <v>3</v>
      </c>
      <c r="I4" s="16">
        <v>5</v>
      </c>
      <c r="J4" s="16">
        <v>1</v>
      </c>
      <c r="K4" s="16">
        <v>21</v>
      </c>
      <c r="L4" s="16">
        <v>4</v>
      </c>
      <c r="M4" s="17">
        <f t="shared" si="0"/>
        <v>46</v>
      </c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1:23" s="18" customFormat="1" ht="27.6" x14ac:dyDescent="0.3">
      <c r="A5" s="29">
        <v>45244</v>
      </c>
      <c r="B5" s="23" t="s">
        <v>78</v>
      </c>
      <c r="C5" s="16">
        <v>0</v>
      </c>
      <c r="D5" s="16">
        <v>0</v>
      </c>
      <c r="E5" s="16">
        <v>1</v>
      </c>
      <c r="F5" s="16">
        <v>8</v>
      </c>
      <c r="G5" s="16">
        <v>4</v>
      </c>
      <c r="H5" s="16">
        <v>4</v>
      </c>
      <c r="I5" s="16">
        <v>2</v>
      </c>
      <c r="J5" s="16">
        <v>2</v>
      </c>
      <c r="K5" s="16">
        <v>5</v>
      </c>
      <c r="L5" s="16">
        <v>1</v>
      </c>
      <c r="M5" s="17">
        <f t="shared" si="0"/>
        <v>27</v>
      </c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3" s="18" customFormat="1" ht="27.6" x14ac:dyDescent="0.3">
      <c r="A6" s="29">
        <v>45246</v>
      </c>
      <c r="B6" s="23" t="s">
        <v>79</v>
      </c>
      <c r="C6" s="16">
        <v>0</v>
      </c>
      <c r="D6" s="16">
        <v>0</v>
      </c>
      <c r="E6" s="16">
        <v>3</v>
      </c>
      <c r="F6" s="16">
        <v>5</v>
      </c>
      <c r="G6" s="16">
        <v>5</v>
      </c>
      <c r="H6" s="16">
        <v>2</v>
      </c>
      <c r="I6" s="16">
        <v>1</v>
      </c>
      <c r="J6" s="16">
        <v>0</v>
      </c>
      <c r="K6" s="16">
        <v>3</v>
      </c>
      <c r="L6" s="16">
        <v>5</v>
      </c>
      <c r="M6" s="17">
        <f t="shared" si="0"/>
        <v>24</v>
      </c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1:23" ht="28.8" x14ac:dyDescent="0.3">
      <c r="A7" s="29">
        <v>45267</v>
      </c>
      <c r="B7" s="31" t="s">
        <v>62</v>
      </c>
      <c r="C7" s="24">
        <v>6</v>
      </c>
      <c r="D7" s="24">
        <v>6</v>
      </c>
      <c r="E7" s="24">
        <v>6</v>
      </c>
      <c r="F7" s="24">
        <v>7</v>
      </c>
      <c r="G7" s="24">
        <v>13</v>
      </c>
      <c r="H7" s="24">
        <v>10</v>
      </c>
      <c r="I7" s="24">
        <v>4</v>
      </c>
      <c r="J7" s="24">
        <v>9</v>
      </c>
      <c r="K7" s="24">
        <v>8</v>
      </c>
      <c r="L7" s="24">
        <v>5</v>
      </c>
      <c r="M7" s="17">
        <f t="shared" si="0"/>
        <v>74</v>
      </c>
    </row>
    <row r="8" spans="1:23" ht="28.8" x14ac:dyDescent="0.3">
      <c r="A8" s="29">
        <v>45273</v>
      </c>
      <c r="B8" s="31" t="s">
        <v>63</v>
      </c>
      <c r="C8" s="24">
        <v>2</v>
      </c>
      <c r="D8" s="24">
        <v>6</v>
      </c>
      <c r="E8" s="24">
        <v>2</v>
      </c>
      <c r="F8" s="24">
        <v>3</v>
      </c>
      <c r="G8" s="24">
        <v>12</v>
      </c>
      <c r="H8" s="24">
        <v>1</v>
      </c>
      <c r="I8" s="24">
        <v>5</v>
      </c>
      <c r="J8" s="24">
        <v>6</v>
      </c>
      <c r="K8" s="24">
        <v>5</v>
      </c>
      <c r="L8" s="24">
        <v>4</v>
      </c>
      <c r="M8" s="17">
        <f t="shared" si="0"/>
        <v>46</v>
      </c>
    </row>
    <row r="9" spans="1:23" ht="28.8" x14ac:dyDescent="0.3">
      <c r="A9" s="29">
        <v>45274</v>
      </c>
      <c r="B9" s="31" t="s">
        <v>64</v>
      </c>
      <c r="C9" s="24">
        <v>3</v>
      </c>
      <c r="D9" s="24">
        <v>1</v>
      </c>
      <c r="E9" s="24">
        <v>3</v>
      </c>
      <c r="F9" s="24">
        <v>0</v>
      </c>
      <c r="G9" s="24">
        <v>3</v>
      </c>
      <c r="H9" s="24">
        <v>0</v>
      </c>
      <c r="I9" s="24">
        <v>1</v>
      </c>
      <c r="J9" s="24">
        <v>2</v>
      </c>
      <c r="K9" s="24">
        <v>2</v>
      </c>
      <c r="L9" s="24">
        <v>0</v>
      </c>
      <c r="M9" s="17">
        <f t="shared" si="0"/>
        <v>15</v>
      </c>
    </row>
    <row r="10" spans="1:23" ht="43.2" x14ac:dyDescent="0.3">
      <c r="A10" s="29">
        <v>45280</v>
      </c>
      <c r="B10" s="31" t="s">
        <v>65</v>
      </c>
      <c r="C10" s="24">
        <v>3</v>
      </c>
      <c r="D10" s="24">
        <v>3</v>
      </c>
      <c r="E10" s="24">
        <v>1</v>
      </c>
      <c r="F10" s="24">
        <v>4</v>
      </c>
      <c r="G10" s="24">
        <v>6</v>
      </c>
      <c r="H10" s="24">
        <v>5</v>
      </c>
      <c r="I10" s="24">
        <v>0</v>
      </c>
      <c r="J10" s="24">
        <v>2</v>
      </c>
      <c r="K10" s="24">
        <v>5</v>
      </c>
      <c r="L10" s="24">
        <v>6</v>
      </c>
      <c r="M10" s="17">
        <f t="shared" si="0"/>
        <v>35</v>
      </c>
    </row>
    <row r="11" spans="1:23" ht="28.8" x14ac:dyDescent="0.3">
      <c r="A11" s="29">
        <v>45398</v>
      </c>
      <c r="B11" s="31" t="s">
        <v>81</v>
      </c>
      <c r="C11" s="24">
        <v>3</v>
      </c>
      <c r="D11" s="24">
        <v>4</v>
      </c>
      <c r="E11" s="24">
        <v>8</v>
      </c>
      <c r="F11" s="24">
        <v>10</v>
      </c>
      <c r="G11" s="24">
        <v>13</v>
      </c>
      <c r="H11" s="24">
        <v>6</v>
      </c>
      <c r="I11" s="24">
        <v>6</v>
      </c>
      <c r="J11" s="24">
        <v>5</v>
      </c>
      <c r="K11" s="24">
        <v>8</v>
      </c>
      <c r="L11" s="24">
        <v>3</v>
      </c>
      <c r="M11" s="17">
        <f t="shared" si="0"/>
        <v>66</v>
      </c>
    </row>
    <row r="12" spans="1:23" ht="28.8" x14ac:dyDescent="0.3">
      <c r="A12" s="29">
        <v>45400</v>
      </c>
      <c r="B12" s="31" t="s">
        <v>82</v>
      </c>
      <c r="C12" s="24">
        <v>9</v>
      </c>
      <c r="D12" s="24">
        <v>4</v>
      </c>
      <c r="E12" s="24">
        <v>5</v>
      </c>
      <c r="F12" s="24">
        <v>9</v>
      </c>
      <c r="G12" s="24">
        <v>23</v>
      </c>
      <c r="H12" s="24">
        <v>7</v>
      </c>
      <c r="I12" s="24">
        <v>5</v>
      </c>
      <c r="J12" s="24">
        <v>18</v>
      </c>
      <c r="K12" s="24">
        <v>10</v>
      </c>
      <c r="L12" s="24">
        <v>8</v>
      </c>
      <c r="M12" s="17">
        <f t="shared" si="0"/>
        <v>98</v>
      </c>
    </row>
    <row r="13" spans="1:23" s="41" customFormat="1" ht="43.2" x14ac:dyDescent="0.3">
      <c r="A13" s="29">
        <v>45405</v>
      </c>
      <c r="B13" s="31" t="s">
        <v>83</v>
      </c>
      <c r="C13" s="24">
        <v>3</v>
      </c>
      <c r="D13" s="24">
        <v>5</v>
      </c>
      <c r="E13" s="24">
        <v>14</v>
      </c>
      <c r="F13" s="24">
        <v>6</v>
      </c>
      <c r="G13" s="24">
        <v>18</v>
      </c>
      <c r="H13" s="24">
        <v>3</v>
      </c>
      <c r="I13" s="24">
        <v>4</v>
      </c>
      <c r="J13" s="24">
        <v>10</v>
      </c>
      <c r="K13" s="24">
        <v>8</v>
      </c>
      <c r="L13" s="24">
        <v>5</v>
      </c>
      <c r="M13" s="17">
        <f t="shared" si="0"/>
        <v>76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 spans="1:23" ht="28.8" x14ac:dyDescent="0.3">
      <c r="A14" s="29">
        <v>45406</v>
      </c>
      <c r="B14" s="31" t="s">
        <v>84</v>
      </c>
      <c r="C14" s="24">
        <v>4</v>
      </c>
      <c r="D14" s="24">
        <v>6</v>
      </c>
      <c r="E14" s="24">
        <v>9</v>
      </c>
      <c r="F14" s="24">
        <v>7</v>
      </c>
      <c r="G14" s="24">
        <v>15</v>
      </c>
      <c r="H14" s="24">
        <v>5</v>
      </c>
      <c r="I14" s="24">
        <v>2</v>
      </c>
      <c r="J14" s="24">
        <v>12</v>
      </c>
      <c r="K14" s="24">
        <v>2</v>
      </c>
      <c r="L14" s="24">
        <v>10</v>
      </c>
      <c r="M14" s="17">
        <f t="shared" si="0"/>
        <v>72</v>
      </c>
    </row>
    <row r="15" spans="1:23" ht="57.6" x14ac:dyDescent="0.3">
      <c r="A15" s="29">
        <v>45407</v>
      </c>
      <c r="B15" s="31" t="s">
        <v>85</v>
      </c>
      <c r="C15" s="24">
        <v>3</v>
      </c>
      <c r="D15" s="24">
        <v>1</v>
      </c>
      <c r="E15" s="24">
        <v>4</v>
      </c>
      <c r="F15" s="24">
        <v>3</v>
      </c>
      <c r="G15" s="24">
        <v>5</v>
      </c>
      <c r="H15" s="24">
        <v>3</v>
      </c>
      <c r="I15" s="24">
        <v>1</v>
      </c>
      <c r="J15" s="24">
        <v>6</v>
      </c>
      <c r="K15" s="24">
        <v>1</v>
      </c>
      <c r="L15" s="24">
        <v>1</v>
      </c>
      <c r="M15" s="17">
        <f t="shared" si="0"/>
        <v>28</v>
      </c>
    </row>
    <row r="16" spans="1:23" ht="28.8" x14ac:dyDescent="0.3">
      <c r="A16" s="29">
        <v>45412</v>
      </c>
      <c r="B16" s="31" t="s">
        <v>86</v>
      </c>
      <c r="C16" s="24">
        <v>1</v>
      </c>
      <c r="D16" s="24">
        <v>2</v>
      </c>
      <c r="E16" s="24">
        <v>2</v>
      </c>
      <c r="F16" s="24">
        <v>2</v>
      </c>
      <c r="G16" s="24">
        <v>5</v>
      </c>
      <c r="H16" s="24">
        <v>2</v>
      </c>
      <c r="I16" s="24">
        <v>5</v>
      </c>
      <c r="J16" s="24">
        <v>3</v>
      </c>
      <c r="K16" s="24">
        <v>2</v>
      </c>
      <c r="L16" s="24">
        <v>1</v>
      </c>
      <c r="M16" s="17">
        <f t="shared" si="0"/>
        <v>25</v>
      </c>
    </row>
    <row r="17" spans="1:23" ht="27.6" x14ac:dyDescent="0.3">
      <c r="A17" s="29">
        <v>45414</v>
      </c>
      <c r="B17" s="23" t="s">
        <v>51</v>
      </c>
      <c r="C17" s="16">
        <v>8</v>
      </c>
      <c r="D17" s="16">
        <v>11</v>
      </c>
      <c r="E17" s="16">
        <v>5</v>
      </c>
      <c r="F17" s="16">
        <v>46</v>
      </c>
      <c r="G17" s="16">
        <v>16</v>
      </c>
      <c r="H17" s="16">
        <v>7</v>
      </c>
      <c r="I17" s="16">
        <v>12</v>
      </c>
      <c r="J17" s="16">
        <v>18</v>
      </c>
      <c r="K17" s="16">
        <v>11</v>
      </c>
      <c r="L17" s="16">
        <v>19</v>
      </c>
      <c r="M17" s="17">
        <f t="shared" si="0"/>
        <v>153</v>
      </c>
    </row>
    <row r="18" spans="1:23" ht="27.6" x14ac:dyDescent="0.3">
      <c r="A18" s="29">
        <v>45421</v>
      </c>
      <c r="B18" s="23" t="s">
        <v>52</v>
      </c>
      <c r="C18" s="24">
        <v>6</v>
      </c>
      <c r="D18" s="16">
        <v>5</v>
      </c>
      <c r="E18" s="16">
        <v>4</v>
      </c>
      <c r="F18" s="16">
        <v>31</v>
      </c>
      <c r="G18" s="16">
        <v>13</v>
      </c>
      <c r="H18" s="16">
        <v>5</v>
      </c>
      <c r="I18" s="16">
        <v>7</v>
      </c>
      <c r="J18" s="16">
        <v>11</v>
      </c>
      <c r="K18" s="16">
        <v>15</v>
      </c>
      <c r="L18" s="16">
        <v>15</v>
      </c>
      <c r="M18" s="17">
        <f t="shared" si="0"/>
        <v>112</v>
      </c>
    </row>
    <row r="19" spans="1:23" ht="27.6" x14ac:dyDescent="0.3">
      <c r="A19" s="29">
        <v>45428</v>
      </c>
      <c r="B19" s="23" t="s">
        <v>53</v>
      </c>
      <c r="C19" s="16">
        <v>7</v>
      </c>
      <c r="D19" s="16">
        <v>5</v>
      </c>
      <c r="E19" s="16">
        <v>4</v>
      </c>
      <c r="F19" s="16">
        <v>20</v>
      </c>
      <c r="G19" s="16">
        <v>15</v>
      </c>
      <c r="H19" s="16">
        <v>6</v>
      </c>
      <c r="I19" s="16">
        <v>8</v>
      </c>
      <c r="J19" s="16">
        <v>11</v>
      </c>
      <c r="K19" s="16">
        <v>18</v>
      </c>
      <c r="L19" s="16">
        <v>12</v>
      </c>
      <c r="M19" s="17">
        <f t="shared" si="0"/>
        <v>106</v>
      </c>
    </row>
    <row r="20" spans="1:23" ht="27.6" x14ac:dyDescent="0.3">
      <c r="A20" s="29">
        <v>45433</v>
      </c>
      <c r="B20" s="25" t="s">
        <v>54</v>
      </c>
      <c r="C20" s="16">
        <v>1</v>
      </c>
      <c r="D20" s="16">
        <v>0</v>
      </c>
      <c r="E20" s="16">
        <v>1</v>
      </c>
      <c r="F20" s="16">
        <v>11</v>
      </c>
      <c r="G20" s="16">
        <v>9</v>
      </c>
      <c r="H20" s="16">
        <v>2</v>
      </c>
      <c r="I20" s="16">
        <v>2</v>
      </c>
      <c r="J20" s="16">
        <v>5</v>
      </c>
      <c r="K20" s="16">
        <v>4</v>
      </c>
      <c r="L20" s="16">
        <v>2</v>
      </c>
      <c r="M20" s="17">
        <f t="shared" si="0"/>
        <v>37</v>
      </c>
    </row>
    <row r="21" spans="1:23" ht="41.4" x14ac:dyDescent="0.3">
      <c r="A21" s="29">
        <v>45435</v>
      </c>
      <c r="B21" s="23" t="s">
        <v>55</v>
      </c>
      <c r="C21" s="16">
        <v>4</v>
      </c>
      <c r="D21" s="16">
        <v>3</v>
      </c>
      <c r="E21" s="16">
        <v>1</v>
      </c>
      <c r="F21" s="16">
        <v>16</v>
      </c>
      <c r="G21" s="16">
        <v>11</v>
      </c>
      <c r="H21" s="16">
        <v>2</v>
      </c>
      <c r="I21" s="16">
        <v>5</v>
      </c>
      <c r="J21" s="16">
        <v>9</v>
      </c>
      <c r="K21" s="16">
        <v>14</v>
      </c>
      <c r="L21" s="16">
        <v>11</v>
      </c>
      <c r="M21" s="17">
        <f t="shared" si="0"/>
        <v>76</v>
      </c>
    </row>
    <row r="22" spans="1:23" ht="27.6" x14ac:dyDescent="0.3">
      <c r="A22" s="29">
        <v>45442</v>
      </c>
      <c r="B22" s="23" t="s">
        <v>56</v>
      </c>
      <c r="C22" s="16">
        <v>5</v>
      </c>
      <c r="D22" s="16">
        <v>5</v>
      </c>
      <c r="E22" s="16">
        <v>4</v>
      </c>
      <c r="F22" s="16">
        <v>12</v>
      </c>
      <c r="G22" s="16">
        <v>14</v>
      </c>
      <c r="H22" s="16">
        <v>3</v>
      </c>
      <c r="I22" s="16">
        <v>9</v>
      </c>
      <c r="J22" s="16">
        <v>6</v>
      </c>
      <c r="K22" s="16">
        <v>10</v>
      </c>
      <c r="L22" s="16">
        <v>8</v>
      </c>
      <c r="M22" s="17">
        <f t="shared" si="0"/>
        <v>76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ht="28.8" x14ac:dyDescent="0.3">
      <c r="A23" s="29">
        <v>45455</v>
      </c>
      <c r="B23" s="31" t="s">
        <v>87</v>
      </c>
      <c r="C23" s="24">
        <v>2</v>
      </c>
      <c r="D23" s="24">
        <v>7</v>
      </c>
      <c r="E23" s="24">
        <v>4</v>
      </c>
      <c r="F23" s="24">
        <v>18</v>
      </c>
      <c r="G23" s="24">
        <v>19</v>
      </c>
      <c r="H23" s="24">
        <v>11</v>
      </c>
      <c r="I23" s="24">
        <v>6</v>
      </c>
      <c r="J23" s="24">
        <v>13</v>
      </c>
      <c r="K23" s="24">
        <v>10</v>
      </c>
      <c r="L23" s="24">
        <v>7</v>
      </c>
      <c r="M23" s="17">
        <f t="shared" si="0"/>
        <v>97</v>
      </c>
    </row>
    <row r="24" spans="1:23" x14ac:dyDescent="0.3">
      <c r="A24" s="29">
        <v>45456</v>
      </c>
      <c r="B24" s="31" t="s">
        <v>88</v>
      </c>
      <c r="C24" s="24">
        <v>0</v>
      </c>
      <c r="D24" s="24">
        <v>1</v>
      </c>
      <c r="E24" s="24">
        <v>1</v>
      </c>
      <c r="F24" s="24">
        <v>7</v>
      </c>
      <c r="G24" s="24">
        <v>3</v>
      </c>
      <c r="H24" s="24">
        <v>5</v>
      </c>
      <c r="I24" s="24">
        <v>1</v>
      </c>
      <c r="J24" s="24">
        <v>4</v>
      </c>
      <c r="K24" s="24">
        <v>3</v>
      </c>
      <c r="L24" s="24">
        <v>2</v>
      </c>
      <c r="M24" s="17">
        <f t="shared" si="0"/>
        <v>27</v>
      </c>
    </row>
    <row r="25" spans="1:23" ht="43.2" x14ac:dyDescent="0.3">
      <c r="A25" s="29">
        <v>45461</v>
      </c>
      <c r="B25" s="31" t="s">
        <v>91</v>
      </c>
      <c r="C25" s="24">
        <v>1</v>
      </c>
      <c r="D25" s="24">
        <v>7</v>
      </c>
      <c r="E25" s="24">
        <v>4</v>
      </c>
      <c r="F25" s="24">
        <v>20</v>
      </c>
      <c r="G25" s="24">
        <v>17</v>
      </c>
      <c r="H25" s="24">
        <v>6</v>
      </c>
      <c r="I25" s="24">
        <v>7</v>
      </c>
      <c r="J25" s="24">
        <v>35</v>
      </c>
      <c r="K25" s="24">
        <v>11</v>
      </c>
      <c r="L25" s="24">
        <v>8</v>
      </c>
      <c r="M25" s="17">
        <f t="shared" si="0"/>
        <v>116</v>
      </c>
    </row>
    <row r="26" spans="1:23" ht="43.2" x14ac:dyDescent="0.3">
      <c r="A26" s="29">
        <v>45462</v>
      </c>
      <c r="B26" s="31" t="s">
        <v>89</v>
      </c>
      <c r="C26" s="24">
        <v>1</v>
      </c>
      <c r="D26" s="24">
        <v>2</v>
      </c>
      <c r="E26" s="24">
        <v>0</v>
      </c>
      <c r="F26" s="24">
        <v>6</v>
      </c>
      <c r="G26" s="24">
        <v>10</v>
      </c>
      <c r="H26" s="24">
        <v>8</v>
      </c>
      <c r="I26" s="24">
        <v>1</v>
      </c>
      <c r="J26" s="24">
        <v>13</v>
      </c>
      <c r="K26" s="24">
        <v>7</v>
      </c>
      <c r="L26" s="24">
        <v>2</v>
      </c>
      <c r="M26" s="17">
        <f t="shared" si="0"/>
        <v>50</v>
      </c>
    </row>
    <row r="27" spans="1:23" ht="28.8" x14ac:dyDescent="0.3">
      <c r="A27" s="29">
        <v>45463</v>
      </c>
      <c r="B27" s="31" t="s">
        <v>90</v>
      </c>
      <c r="C27" s="24">
        <v>10</v>
      </c>
      <c r="D27" s="24">
        <v>4</v>
      </c>
      <c r="E27" s="24">
        <v>1</v>
      </c>
      <c r="F27" s="24">
        <v>11</v>
      </c>
      <c r="G27" s="24">
        <v>11</v>
      </c>
      <c r="H27" s="24">
        <v>7</v>
      </c>
      <c r="I27" s="24">
        <v>12</v>
      </c>
      <c r="J27" s="24">
        <v>21</v>
      </c>
      <c r="K27" s="24">
        <v>4</v>
      </c>
      <c r="L27" s="24">
        <v>1</v>
      </c>
      <c r="M27" s="17">
        <f t="shared" si="0"/>
        <v>82</v>
      </c>
    </row>
    <row r="28" spans="1:23" ht="28.8" x14ac:dyDescent="0.3">
      <c r="A28" s="29">
        <v>45468</v>
      </c>
      <c r="B28" s="31" t="s">
        <v>92</v>
      </c>
      <c r="C28" s="24">
        <v>1</v>
      </c>
      <c r="D28" s="24">
        <v>4</v>
      </c>
      <c r="E28" s="24">
        <v>2</v>
      </c>
      <c r="F28" s="24">
        <v>14</v>
      </c>
      <c r="G28" s="24">
        <v>13</v>
      </c>
      <c r="H28" s="24">
        <v>7</v>
      </c>
      <c r="I28" s="24">
        <v>0</v>
      </c>
      <c r="J28" s="24">
        <v>29</v>
      </c>
      <c r="K28" s="24">
        <v>3</v>
      </c>
      <c r="L28" s="24">
        <v>10</v>
      </c>
      <c r="M28" s="17">
        <f t="shared" si="0"/>
        <v>83</v>
      </c>
    </row>
    <row r="29" spans="1:23" ht="28.8" x14ac:dyDescent="0.3">
      <c r="A29" s="29">
        <v>45470</v>
      </c>
      <c r="B29" s="31" t="s">
        <v>93</v>
      </c>
      <c r="C29" s="24">
        <v>0</v>
      </c>
      <c r="D29" s="24">
        <v>4</v>
      </c>
      <c r="E29" s="24">
        <v>0</v>
      </c>
      <c r="F29" s="24">
        <v>9</v>
      </c>
      <c r="G29" s="24">
        <v>10</v>
      </c>
      <c r="H29" s="24">
        <v>1</v>
      </c>
      <c r="I29" s="24">
        <v>0</v>
      </c>
      <c r="J29" s="24">
        <v>17</v>
      </c>
      <c r="K29" s="24">
        <v>3</v>
      </c>
      <c r="L29" s="24">
        <v>2</v>
      </c>
      <c r="M29" s="17">
        <f t="shared" si="0"/>
        <v>46</v>
      </c>
    </row>
    <row r="30" spans="1:23" x14ac:dyDescent="0.3">
      <c r="A30" s="29">
        <v>45482</v>
      </c>
      <c r="B30" s="31" t="s">
        <v>94</v>
      </c>
      <c r="C30" s="24">
        <v>0</v>
      </c>
      <c r="D30" s="24">
        <v>1</v>
      </c>
      <c r="E30" s="24">
        <v>6</v>
      </c>
      <c r="F30" s="24">
        <v>14</v>
      </c>
      <c r="G30" s="24">
        <v>3</v>
      </c>
      <c r="H30" s="24">
        <v>2</v>
      </c>
      <c r="I30" s="24">
        <v>4</v>
      </c>
      <c r="J30" s="24">
        <v>6</v>
      </c>
      <c r="K30" s="24">
        <v>4</v>
      </c>
      <c r="L30" s="24">
        <v>0</v>
      </c>
      <c r="M30" s="17">
        <f t="shared" si="0"/>
        <v>40</v>
      </c>
    </row>
    <row r="31" spans="1:23" ht="43.2" x14ac:dyDescent="0.3">
      <c r="A31" s="29">
        <v>45489</v>
      </c>
      <c r="B31" s="31" t="s">
        <v>95</v>
      </c>
      <c r="C31" s="24">
        <v>5</v>
      </c>
      <c r="D31" s="24">
        <v>2</v>
      </c>
      <c r="E31" s="24">
        <v>7</v>
      </c>
      <c r="F31" s="24">
        <v>12</v>
      </c>
      <c r="G31" s="24">
        <v>16</v>
      </c>
      <c r="H31" s="24">
        <v>4</v>
      </c>
      <c r="I31" s="24">
        <v>10</v>
      </c>
      <c r="J31" s="24">
        <v>5</v>
      </c>
      <c r="K31" s="24">
        <v>9</v>
      </c>
      <c r="L31" s="24">
        <v>1</v>
      </c>
      <c r="M31" s="17">
        <f t="shared" si="0"/>
        <v>71</v>
      </c>
    </row>
    <row r="32" spans="1:23" ht="28.8" x14ac:dyDescent="0.3">
      <c r="A32" s="29">
        <v>45490</v>
      </c>
      <c r="B32" s="31" t="s">
        <v>96</v>
      </c>
      <c r="C32" s="24">
        <v>4</v>
      </c>
      <c r="D32" s="24">
        <v>12</v>
      </c>
      <c r="E32" s="24">
        <v>7</v>
      </c>
      <c r="F32" s="24">
        <v>23</v>
      </c>
      <c r="G32" s="24">
        <v>22</v>
      </c>
      <c r="H32" s="24">
        <v>8</v>
      </c>
      <c r="I32" s="24">
        <v>14</v>
      </c>
      <c r="J32" s="24">
        <v>13</v>
      </c>
      <c r="K32" s="24">
        <v>10</v>
      </c>
      <c r="L32" s="24">
        <v>2</v>
      </c>
      <c r="M32" s="17">
        <f t="shared" si="0"/>
        <v>115</v>
      </c>
    </row>
    <row r="33" spans="1:13" ht="43.2" x14ac:dyDescent="0.3">
      <c r="A33" s="29">
        <v>45496</v>
      </c>
      <c r="B33" s="31" t="s">
        <v>97</v>
      </c>
      <c r="C33" s="24">
        <v>4</v>
      </c>
      <c r="D33" s="24">
        <v>5</v>
      </c>
      <c r="E33" s="24">
        <v>10</v>
      </c>
      <c r="F33" s="24">
        <v>8</v>
      </c>
      <c r="G33" s="24">
        <v>16</v>
      </c>
      <c r="H33" s="24">
        <v>4</v>
      </c>
      <c r="I33" s="24">
        <v>7</v>
      </c>
      <c r="J33" s="24">
        <v>5</v>
      </c>
      <c r="K33" s="24">
        <v>10</v>
      </c>
      <c r="L33" s="24">
        <v>1</v>
      </c>
      <c r="M33" s="17">
        <f t="shared" si="0"/>
        <v>70</v>
      </c>
    </row>
    <row r="34" spans="1:13" ht="28.8" x14ac:dyDescent="0.3">
      <c r="A34" s="29">
        <v>45498</v>
      </c>
      <c r="B34" s="31" t="s">
        <v>98</v>
      </c>
      <c r="C34" s="24">
        <v>5</v>
      </c>
      <c r="D34" s="24">
        <v>8</v>
      </c>
      <c r="E34" s="24">
        <v>10</v>
      </c>
      <c r="F34" s="24">
        <v>8</v>
      </c>
      <c r="G34" s="24">
        <v>18</v>
      </c>
      <c r="H34" s="24">
        <v>3</v>
      </c>
      <c r="I34" s="24">
        <v>10</v>
      </c>
      <c r="J34" s="24">
        <v>6</v>
      </c>
      <c r="K34" s="24">
        <v>15</v>
      </c>
      <c r="L34" s="24">
        <v>2</v>
      </c>
      <c r="M34" s="17">
        <f t="shared" si="0"/>
        <v>85</v>
      </c>
    </row>
    <row r="35" spans="1:13" ht="43.2" x14ac:dyDescent="0.3">
      <c r="A35" s="29">
        <v>45511</v>
      </c>
      <c r="B35" s="31" t="s">
        <v>99</v>
      </c>
      <c r="C35" s="24">
        <v>4</v>
      </c>
      <c r="D35" s="24">
        <v>6</v>
      </c>
      <c r="E35" s="24">
        <v>6</v>
      </c>
      <c r="F35" s="24">
        <v>27</v>
      </c>
      <c r="G35" s="24">
        <v>24</v>
      </c>
      <c r="H35" s="24">
        <v>9</v>
      </c>
      <c r="I35" s="24">
        <v>13</v>
      </c>
      <c r="J35" s="24">
        <v>18</v>
      </c>
      <c r="K35" s="24">
        <v>22</v>
      </c>
      <c r="L35" s="24">
        <v>9</v>
      </c>
      <c r="M35" s="17">
        <f t="shared" ref="M35:M66" si="1">SUM(C35:L35)</f>
        <v>138</v>
      </c>
    </row>
    <row r="36" spans="1:13" ht="43.2" x14ac:dyDescent="0.3">
      <c r="A36" s="29">
        <v>45511</v>
      </c>
      <c r="B36" s="31" t="s">
        <v>100</v>
      </c>
      <c r="C36" s="24">
        <v>2</v>
      </c>
      <c r="D36" s="24">
        <v>0</v>
      </c>
      <c r="E36" s="24">
        <v>7</v>
      </c>
      <c r="F36" s="24">
        <v>7</v>
      </c>
      <c r="G36" s="24">
        <v>11</v>
      </c>
      <c r="H36" s="24">
        <v>3</v>
      </c>
      <c r="I36" s="24">
        <v>5</v>
      </c>
      <c r="J36" s="24">
        <v>6</v>
      </c>
      <c r="K36" s="24">
        <v>18</v>
      </c>
      <c r="L36" s="24">
        <v>7</v>
      </c>
      <c r="M36" s="17">
        <f t="shared" si="1"/>
        <v>66</v>
      </c>
    </row>
    <row r="37" spans="1:13" ht="43.2" x14ac:dyDescent="0.3">
      <c r="A37" s="29">
        <v>45518</v>
      </c>
      <c r="B37" s="31" t="s">
        <v>101</v>
      </c>
      <c r="C37" s="24">
        <v>4</v>
      </c>
      <c r="D37" s="24">
        <v>5</v>
      </c>
      <c r="E37" s="24">
        <v>3</v>
      </c>
      <c r="F37" s="24">
        <v>11</v>
      </c>
      <c r="G37" s="24">
        <v>11</v>
      </c>
      <c r="H37" s="24">
        <v>1</v>
      </c>
      <c r="I37" s="24">
        <v>7</v>
      </c>
      <c r="J37" s="24">
        <v>9</v>
      </c>
      <c r="K37" s="24">
        <v>14</v>
      </c>
      <c r="L37" s="24">
        <v>5</v>
      </c>
      <c r="M37" s="17">
        <f t="shared" si="1"/>
        <v>70</v>
      </c>
    </row>
    <row r="38" spans="1:13" x14ac:dyDescent="0.3">
      <c r="A38" s="29">
        <v>45519</v>
      </c>
      <c r="B38" s="31" t="s">
        <v>102</v>
      </c>
      <c r="C38" s="24">
        <v>0</v>
      </c>
      <c r="D38" s="24">
        <v>1</v>
      </c>
      <c r="E38" s="24">
        <v>0</v>
      </c>
      <c r="F38" s="24">
        <v>2</v>
      </c>
      <c r="G38" s="24">
        <v>1</v>
      </c>
      <c r="H38" s="24">
        <v>2</v>
      </c>
      <c r="I38" s="24">
        <v>2</v>
      </c>
      <c r="J38" s="24">
        <v>9</v>
      </c>
      <c r="K38" s="24">
        <v>7</v>
      </c>
      <c r="L38" s="24">
        <v>2</v>
      </c>
      <c r="M38" s="17">
        <f t="shared" si="1"/>
        <v>26</v>
      </c>
    </row>
    <row r="39" spans="1:13" ht="57.6" x14ac:dyDescent="0.3">
      <c r="A39" s="29">
        <v>45524</v>
      </c>
      <c r="B39" s="31" t="s">
        <v>103</v>
      </c>
      <c r="C39" s="24">
        <v>1</v>
      </c>
      <c r="D39" s="24">
        <v>2</v>
      </c>
      <c r="E39" s="24">
        <v>2</v>
      </c>
      <c r="F39" s="24">
        <v>7</v>
      </c>
      <c r="G39" s="24">
        <v>5</v>
      </c>
      <c r="H39" s="24">
        <v>3</v>
      </c>
      <c r="I39" s="24">
        <v>2</v>
      </c>
      <c r="J39" s="24">
        <v>2</v>
      </c>
      <c r="K39" s="24">
        <v>13</v>
      </c>
      <c r="L39" s="24">
        <v>4</v>
      </c>
      <c r="M39" s="17">
        <f t="shared" si="1"/>
        <v>41</v>
      </c>
    </row>
    <row r="40" spans="1:13" ht="28.8" x14ac:dyDescent="0.3">
      <c r="A40" s="29">
        <v>45526</v>
      </c>
      <c r="B40" s="31" t="s">
        <v>104</v>
      </c>
      <c r="C40" s="24">
        <v>7</v>
      </c>
      <c r="D40" s="24">
        <v>5</v>
      </c>
      <c r="E40" s="24">
        <v>7</v>
      </c>
      <c r="F40" s="24">
        <v>36</v>
      </c>
      <c r="G40" s="24">
        <v>19</v>
      </c>
      <c r="H40" s="24">
        <v>8</v>
      </c>
      <c r="I40" s="24">
        <v>9</v>
      </c>
      <c r="J40" s="24">
        <v>9</v>
      </c>
      <c r="K40" s="24">
        <v>18</v>
      </c>
      <c r="L40" s="24">
        <v>8</v>
      </c>
      <c r="M40" s="17">
        <f t="shared" si="1"/>
        <v>126</v>
      </c>
    </row>
    <row r="41" spans="1:13" x14ac:dyDescent="0.3">
      <c r="A41" s="29">
        <v>45540</v>
      </c>
      <c r="B41" s="31" t="s">
        <v>106</v>
      </c>
      <c r="C41" s="24">
        <v>4</v>
      </c>
      <c r="D41" s="24">
        <v>3</v>
      </c>
      <c r="E41" s="24">
        <v>4</v>
      </c>
      <c r="F41" s="24">
        <v>16</v>
      </c>
      <c r="G41" s="24">
        <v>2</v>
      </c>
      <c r="H41" s="24">
        <v>6</v>
      </c>
      <c r="I41" s="24">
        <v>1</v>
      </c>
      <c r="J41" s="24">
        <v>4</v>
      </c>
      <c r="K41" s="24">
        <v>4</v>
      </c>
      <c r="L41" s="24">
        <v>3</v>
      </c>
      <c r="M41" s="17">
        <f t="shared" si="1"/>
        <v>47</v>
      </c>
    </row>
    <row r="42" spans="1:13" ht="43.2" x14ac:dyDescent="0.3">
      <c r="A42" s="29">
        <v>45545</v>
      </c>
      <c r="B42" s="31" t="s">
        <v>107</v>
      </c>
      <c r="C42" s="24">
        <v>2</v>
      </c>
      <c r="D42" s="24">
        <v>4</v>
      </c>
      <c r="E42" s="24">
        <v>7</v>
      </c>
      <c r="F42" s="24">
        <v>14</v>
      </c>
      <c r="G42" s="24">
        <v>10</v>
      </c>
      <c r="H42" s="24">
        <v>6</v>
      </c>
      <c r="I42" s="24">
        <v>9</v>
      </c>
      <c r="J42" s="24">
        <v>5</v>
      </c>
      <c r="K42" s="24">
        <v>13</v>
      </c>
      <c r="L42" s="24">
        <v>7</v>
      </c>
      <c r="M42" s="17">
        <f t="shared" si="1"/>
        <v>77</v>
      </c>
    </row>
    <row r="43" spans="1:13" ht="28.8" x14ac:dyDescent="0.3">
      <c r="A43" s="29">
        <v>45554</v>
      </c>
      <c r="B43" s="31" t="s">
        <v>108</v>
      </c>
      <c r="C43" s="24">
        <v>9</v>
      </c>
      <c r="D43" s="24">
        <v>3</v>
      </c>
      <c r="E43" s="24">
        <v>6</v>
      </c>
      <c r="F43" s="24">
        <v>10</v>
      </c>
      <c r="G43" s="24">
        <v>9</v>
      </c>
      <c r="H43" s="24">
        <v>4</v>
      </c>
      <c r="I43" s="24">
        <v>3</v>
      </c>
      <c r="J43" s="24">
        <v>10</v>
      </c>
      <c r="K43" s="24">
        <v>9</v>
      </c>
      <c r="L43" s="24">
        <v>7</v>
      </c>
      <c r="M43" s="17">
        <f t="shared" si="1"/>
        <v>70</v>
      </c>
    </row>
    <row r="44" spans="1:13" x14ac:dyDescent="0.3">
      <c r="A44" s="29">
        <v>45574</v>
      </c>
      <c r="B44" s="31" t="s">
        <v>109</v>
      </c>
      <c r="C44" s="24">
        <v>0</v>
      </c>
      <c r="D44" s="24">
        <v>2</v>
      </c>
      <c r="E44" s="24">
        <v>3</v>
      </c>
      <c r="F44" s="24">
        <v>5</v>
      </c>
      <c r="G44" s="24">
        <v>9</v>
      </c>
      <c r="H44" s="24">
        <v>4</v>
      </c>
      <c r="I44" s="24">
        <v>1</v>
      </c>
      <c r="J44" s="24">
        <v>3</v>
      </c>
      <c r="K44" s="24">
        <v>2</v>
      </c>
      <c r="L44" s="24">
        <v>2</v>
      </c>
      <c r="M44" s="17">
        <f t="shared" si="1"/>
        <v>31</v>
      </c>
    </row>
    <row r="45" spans="1:13" ht="43.2" x14ac:dyDescent="0.3">
      <c r="A45" s="29">
        <v>45580</v>
      </c>
      <c r="B45" s="31" t="s">
        <v>110</v>
      </c>
      <c r="C45" s="24">
        <v>4</v>
      </c>
      <c r="D45" s="24">
        <v>19</v>
      </c>
      <c r="E45" s="24">
        <v>9</v>
      </c>
      <c r="F45" s="24">
        <v>15</v>
      </c>
      <c r="G45" s="24">
        <v>20</v>
      </c>
      <c r="H45" s="24">
        <v>3</v>
      </c>
      <c r="I45" s="24">
        <v>6</v>
      </c>
      <c r="J45" s="24">
        <v>6</v>
      </c>
      <c r="K45" s="24">
        <v>17</v>
      </c>
      <c r="L45" s="24">
        <v>4</v>
      </c>
      <c r="M45" s="17">
        <f t="shared" si="1"/>
        <v>103</v>
      </c>
    </row>
    <row r="46" spans="1:13" ht="43.2" x14ac:dyDescent="0.3">
      <c r="A46" s="29">
        <v>45582</v>
      </c>
      <c r="B46" s="31" t="s">
        <v>111</v>
      </c>
      <c r="C46" s="24">
        <v>0</v>
      </c>
      <c r="D46" s="24">
        <v>8</v>
      </c>
      <c r="E46" s="24">
        <v>6</v>
      </c>
      <c r="F46" s="24">
        <v>12</v>
      </c>
      <c r="G46" s="24">
        <v>10</v>
      </c>
      <c r="H46" s="24">
        <v>2</v>
      </c>
      <c r="I46" s="24">
        <v>3</v>
      </c>
      <c r="J46" s="24">
        <v>2</v>
      </c>
      <c r="K46" s="24">
        <v>7</v>
      </c>
      <c r="L46" s="24">
        <v>4</v>
      </c>
      <c r="M46" s="17">
        <f t="shared" si="1"/>
        <v>54</v>
      </c>
    </row>
    <row r="47" spans="1:13" ht="28.8" x14ac:dyDescent="0.3">
      <c r="A47" s="29">
        <v>45587</v>
      </c>
      <c r="B47" s="31" t="s">
        <v>112</v>
      </c>
      <c r="C47" s="24">
        <v>5</v>
      </c>
      <c r="D47" s="24">
        <v>9</v>
      </c>
      <c r="E47" s="24">
        <v>3</v>
      </c>
      <c r="F47" s="24">
        <v>11</v>
      </c>
      <c r="G47" s="24">
        <v>17</v>
      </c>
      <c r="H47" s="24">
        <v>0</v>
      </c>
      <c r="I47" s="24">
        <v>6</v>
      </c>
      <c r="J47" s="24">
        <v>6</v>
      </c>
      <c r="K47" s="24">
        <v>15</v>
      </c>
      <c r="L47" s="24">
        <v>3</v>
      </c>
      <c r="M47" s="17">
        <f t="shared" si="1"/>
        <v>75</v>
      </c>
    </row>
    <row r="48" spans="1:13" ht="43.2" x14ac:dyDescent="0.3">
      <c r="A48" s="29">
        <v>45594</v>
      </c>
      <c r="B48" s="31" t="s">
        <v>113</v>
      </c>
      <c r="C48" s="24">
        <v>3</v>
      </c>
      <c r="D48" s="24">
        <v>12</v>
      </c>
      <c r="E48" s="24">
        <v>12</v>
      </c>
      <c r="F48" s="24">
        <v>22</v>
      </c>
      <c r="G48" s="24">
        <v>29</v>
      </c>
      <c r="H48" s="24">
        <v>3</v>
      </c>
      <c r="I48" s="24">
        <v>12</v>
      </c>
      <c r="J48" s="24">
        <v>5</v>
      </c>
      <c r="K48" s="24">
        <v>13</v>
      </c>
      <c r="L48" s="24">
        <v>2</v>
      </c>
      <c r="M48" s="17">
        <f t="shared" si="1"/>
        <v>113</v>
      </c>
    </row>
    <row r="49" spans="1:13" ht="28.8" x14ac:dyDescent="0.3">
      <c r="A49" s="29">
        <v>45608</v>
      </c>
      <c r="B49" s="31" t="s">
        <v>115</v>
      </c>
      <c r="C49" s="24">
        <v>9</v>
      </c>
      <c r="D49" s="24">
        <v>10</v>
      </c>
      <c r="E49" s="24">
        <v>8</v>
      </c>
      <c r="F49" s="24">
        <v>24</v>
      </c>
      <c r="G49" s="24">
        <v>19</v>
      </c>
      <c r="H49" s="24">
        <v>6</v>
      </c>
      <c r="I49" s="24">
        <v>7</v>
      </c>
      <c r="J49" s="24">
        <v>12</v>
      </c>
      <c r="K49" s="24">
        <v>6</v>
      </c>
      <c r="L49" s="24">
        <v>11</v>
      </c>
      <c r="M49" s="17">
        <f t="shared" si="1"/>
        <v>112</v>
      </c>
    </row>
    <row r="50" spans="1:13" ht="28.8" x14ac:dyDescent="0.3">
      <c r="A50" s="29">
        <v>45610</v>
      </c>
      <c r="B50" s="31" t="s">
        <v>116</v>
      </c>
      <c r="C50" s="24">
        <v>2</v>
      </c>
      <c r="D50" s="24">
        <v>8</v>
      </c>
      <c r="E50" s="24">
        <v>9</v>
      </c>
      <c r="F50" s="24">
        <v>21</v>
      </c>
      <c r="G50" s="24">
        <v>14</v>
      </c>
      <c r="H50" s="24">
        <v>4</v>
      </c>
      <c r="I50" s="24">
        <v>7</v>
      </c>
      <c r="J50" s="24">
        <v>12</v>
      </c>
      <c r="K50" s="24">
        <v>8</v>
      </c>
      <c r="L50" s="24">
        <v>4</v>
      </c>
      <c r="M50" s="17">
        <f t="shared" si="1"/>
        <v>89</v>
      </c>
    </row>
    <row r="51" spans="1:13" ht="28.8" x14ac:dyDescent="0.3">
      <c r="A51" s="29">
        <v>45694</v>
      </c>
      <c r="B51" s="31" t="s">
        <v>130</v>
      </c>
      <c r="C51" s="24">
        <v>2</v>
      </c>
      <c r="D51" s="24">
        <v>2</v>
      </c>
      <c r="E51" s="24">
        <v>0</v>
      </c>
      <c r="F51" s="24">
        <v>15</v>
      </c>
      <c r="G51" s="24">
        <v>18</v>
      </c>
      <c r="H51" s="24">
        <v>3</v>
      </c>
      <c r="I51" s="24">
        <v>0</v>
      </c>
      <c r="J51" s="24">
        <v>3</v>
      </c>
      <c r="K51" s="24">
        <v>4</v>
      </c>
      <c r="L51" s="24">
        <v>0</v>
      </c>
      <c r="M51" s="17">
        <f t="shared" si="1"/>
        <v>47</v>
      </c>
    </row>
    <row r="52" spans="1:13" ht="28.8" x14ac:dyDescent="0.3">
      <c r="A52" s="29">
        <v>45707</v>
      </c>
      <c r="B52" s="31" t="s">
        <v>131</v>
      </c>
      <c r="C52" s="24">
        <v>1</v>
      </c>
      <c r="D52" s="24">
        <v>9</v>
      </c>
      <c r="E52" s="24">
        <v>15</v>
      </c>
      <c r="F52" s="24">
        <v>5</v>
      </c>
      <c r="G52" s="24">
        <v>3</v>
      </c>
      <c r="H52" s="24">
        <v>25</v>
      </c>
      <c r="I52" s="24">
        <v>36</v>
      </c>
      <c r="J52" s="24">
        <v>8</v>
      </c>
      <c r="K52" s="24">
        <v>5</v>
      </c>
      <c r="L52" s="24">
        <v>6</v>
      </c>
      <c r="M52" s="17">
        <f t="shared" si="1"/>
        <v>113</v>
      </c>
    </row>
    <row r="53" spans="1:13" ht="28.8" x14ac:dyDescent="0.3">
      <c r="A53" s="29">
        <v>45713</v>
      </c>
      <c r="B53" s="31" t="s">
        <v>132</v>
      </c>
      <c r="C53" s="24">
        <v>30</v>
      </c>
      <c r="D53" s="24">
        <v>30</v>
      </c>
      <c r="E53" s="24">
        <v>54</v>
      </c>
      <c r="F53" s="24">
        <v>133</v>
      </c>
      <c r="G53" s="24">
        <v>92</v>
      </c>
      <c r="H53" s="24">
        <v>23</v>
      </c>
      <c r="I53" s="24">
        <v>31</v>
      </c>
      <c r="J53" s="24">
        <v>33</v>
      </c>
      <c r="K53" s="24">
        <v>34</v>
      </c>
      <c r="L53" s="24">
        <v>12</v>
      </c>
      <c r="M53" s="17">
        <f t="shared" si="1"/>
        <v>472</v>
      </c>
    </row>
    <row r="54" spans="1:13" ht="28.8" x14ac:dyDescent="0.3">
      <c r="A54" s="29">
        <v>45721</v>
      </c>
      <c r="B54" s="31" t="s">
        <v>124</v>
      </c>
      <c r="C54" s="24">
        <v>4</v>
      </c>
      <c r="D54" s="24">
        <v>3</v>
      </c>
      <c r="E54" s="24">
        <v>5</v>
      </c>
      <c r="F54" s="24">
        <v>12</v>
      </c>
      <c r="G54" s="24">
        <v>7</v>
      </c>
      <c r="H54" s="24">
        <v>1</v>
      </c>
      <c r="I54" s="24">
        <v>7</v>
      </c>
      <c r="J54" s="24">
        <v>2</v>
      </c>
      <c r="K54" s="24">
        <v>1</v>
      </c>
      <c r="L54" s="24">
        <v>0</v>
      </c>
      <c r="M54" s="17">
        <f t="shared" si="1"/>
        <v>42</v>
      </c>
    </row>
    <row r="55" spans="1:13" ht="28.8" x14ac:dyDescent="0.3">
      <c r="A55" s="29">
        <v>45727</v>
      </c>
      <c r="B55" s="31" t="s">
        <v>125</v>
      </c>
      <c r="C55" s="24">
        <v>14</v>
      </c>
      <c r="D55" s="24">
        <v>8</v>
      </c>
      <c r="E55" s="24">
        <v>17</v>
      </c>
      <c r="F55" s="24">
        <v>38</v>
      </c>
      <c r="G55" s="24">
        <v>46</v>
      </c>
      <c r="H55" s="24">
        <v>6</v>
      </c>
      <c r="I55" s="24">
        <v>20</v>
      </c>
      <c r="J55" s="24">
        <v>12</v>
      </c>
      <c r="K55" s="24">
        <v>24</v>
      </c>
      <c r="L55" s="24">
        <v>7</v>
      </c>
      <c r="M55" s="17">
        <f t="shared" si="1"/>
        <v>192</v>
      </c>
    </row>
    <row r="56" spans="1:13" ht="28.8" x14ac:dyDescent="0.3">
      <c r="A56" s="29">
        <v>45729</v>
      </c>
      <c r="B56" s="31" t="s">
        <v>126</v>
      </c>
      <c r="C56" s="24">
        <v>2</v>
      </c>
      <c r="D56" s="24">
        <v>2</v>
      </c>
      <c r="E56" s="24">
        <v>3</v>
      </c>
      <c r="F56" s="24">
        <v>6</v>
      </c>
      <c r="G56" s="24">
        <v>7</v>
      </c>
      <c r="H56" s="24">
        <v>1</v>
      </c>
      <c r="I56" s="24">
        <v>3</v>
      </c>
      <c r="J56" s="24">
        <v>2</v>
      </c>
      <c r="K56" s="24">
        <v>5</v>
      </c>
      <c r="L56" s="24">
        <v>4</v>
      </c>
      <c r="M56" s="17">
        <f t="shared" si="1"/>
        <v>35</v>
      </c>
    </row>
    <row r="57" spans="1:13" ht="28.8" x14ac:dyDescent="0.3">
      <c r="A57" s="29">
        <v>45734</v>
      </c>
      <c r="B57" s="31" t="s">
        <v>127</v>
      </c>
      <c r="C57" s="24">
        <v>2</v>
      </c>
      <c r="D57" s="24">
        <v>10</v>
      </c>
      <c r="E57" s="24">
        <v>10</v>
      </c>
      <c r="F57" s="24">
        <v>32</v>
      </c>
      <c r="G57" s="24">
        <v>29</v>
      </c>
      <c r="H57" s="24">
        <v>12</v>
      </c>
      <c r="I57" s="24">
        <v>12</v>
      </c>
      <c r="J57" s="24">
        <v>9</v>
      </c>
      <c r="K57" s="24">
        <v>13</v>
      </c>
      <c r="L57" s="24">
        <v>4</v>
      </c>
      <c r="M57" s="17">
        <f t="shared" si="1"/>
        <v>133</v>
      </c>
    </row>
    <row r="58" spans="1:13" ht="28.8" x14ac:dyDescent="0.3">
      <c r="A58" s="29">
        <v>45736</v>
      </c>
      <c r="B58" s="31" t="s">
        <v>128</v>
      </c>
      <c r="C58" s="24">
        <v>5</v>
      </c>
      <c r="D58" s="24">
        <v>4</v>
      </c>
      <c r="E58" s="24">
        <v>12</v>
      </c>
      <c r="F58" s="24">
        <v>17</v>
      </c>
      <c r="G58" s="24">
        <v>21</v>
      </c>
      <c r="H58" s="24">
        <v>3</v>
      </c>
      <c r="I58" s="24">
        <v>12</v>
      </c>
      <c r="J58" s="24">
        <v>6</v>
      </c>
      <c r="K58" s="24">
        <v>11</v>
      </c>
      <c r="L58" s="24">
        <v>6</v>
      </c>
      <c r="M58" s="17">
        <f t="shared" si="1"/>
        <v>97</v>
      </c>
    </row>
    <row r="59" spans="1:13" ht="43.2" x14ac:dyDescent="0.3">
      <c r="A59" s="29">
        <v>45741</v>
      </c>
      <c r="B59" s="31" t="s">
        <v>129</v>
      </c>
      <c r="C59" s="24">
        <v>12</v>
      </c>
      <c r="D59" s="24">
        <v>14</v>
      </c>
      <c r="E59" s="24">
        <v>15</v>
      </c>
      <c r="F59" s="24">
        <v>46</v>
      </c>
      <c r="G59" s="24">
        <v>41</v>
      </c>
      <c r="H59" s="24">
        <v>7</v>
      </c>
      <c r="I59" s="24">
        <v>18</v>
      </c>
      <c r="J59" s="24">
        <v>24</v>
      </c>
      <c r="K59" s="24">
        <v>22</v>
      </c>
      <c r="L59" s="24">
        <v>8</v>
      </c>
      <c r="M59" s="17">
        <f t="shared" si="1"/>
        <v>207</v>
      </c>
    </row>
    <row r="60" spans="1:13" ht="28.8" x14ac:dyDescent="0.3">
      <c r="A60" s="29">
        <v>45755</v>
      </c>
      <c r="B60" s="31" t="s">
        <v>133</v>
      </c>
      <c r="C60" s="24">
        <v>3</v>
      </c>
      <c r="D60" s="24">
        <v>2</v>
      </c>
      <c r="E60" s="24">
        <v>3</v>
      </c>
      <c r="F60" s="24">
        <v>11</v>
      </c>
      <c r="G60" s="24">
        <v>8</v>
      </c>
      <c r="H60" s="24">
        <v>6</v>
      </c>
      <c r="I60" s="24">
        <v>3</v>
      </c>
      <c r="J60" s="24">
        <v>1</v>
      </c>
      <c r="K60" s="24">
        <v>2</v>
      </c>
      <c r="L60" s="24">
        <v>0</v>
      </c>
      <c r="M60" s="17">
        <f t="shared" si="1"/>
        <v>39</v>
      </c>
    </row>
    <row r="61" spans="1:13" ht="28.8" x14ac:dyDescent="0.3">
      <c r="A61" s="29">
        <v>45757</v>
      </c>
      <c r="B61" s="31" t="s">
        <v>134</v>
      </c>
      <c r="C61" s="24">
        <v>12</v>
      </c>
      <c r="D61" s="24">
        <v>9</v>
      </c>
      <c r="E61" s="24">
        <v>34</v>
      </c>
      <c r="F61" s="24">
        <v>51</v>
      </c>
      <c r="G61" s="24">
        <v>44</v>
      </c>
      <c r="H61" s="24">
        <v>12</v>
      </c>
      <c r="I61" s="24">
        <v>9</v>
      </c>
      <c r="J61" s="24">
        <v>12</v>
      </c>
      <c r="K61" s="24">
        <v>13</v>
      </c>
      <c r="L61" s="24">
        <v>9</v>
      </c>
      <c r="M61" s="17">
        <f t="shared" si="1"/>
        <v>205</v>
      </c>
    </row>
    <row r="62" spans="1:13" ht="57.6" x14ac:dyDescent="0.3">
      <c r="A62" s="29">
        <v>45762</v>
      </c>
      <c r="B62" s="31" t="s">
        <v>138</v>
      </c>
      <c r="C62" s="24">
        <v>73</v>
      </c>
      <c r="D62" s="24">
        <v>57</v>
      </c>
      <c r="E62" s="24">
        <v>113</v>
      </c>
      <c r="F62" s="24">
        <v>347</v>
      </c>
      <c r="G62" s="24">
        <v>241</v>
      </c>
      <c r="H62" s="24">
        <v>54</v>
      </c>
      <c r="I62" s="24">
        <v>61</v>
      </c>
      <c r="J62" s="24">
        <v>61</v>
      </c>
      <c r="K62" s="24">
        <v>57</v>
      </c>
      <c r="L62" s="24">
        <v>36</v>
      </c>
      <c r="M62" s="17">
        <f t="shared" si="1"/>
        <v>1100</v>
      </c>
    </row>
    <row r="63" spans="1:13" ht="43.2" x14ac:dyDescent="0.3">
      <c r="A63" s="29">
        <v>45770</v>
      </c>
      <c r="B63" s="31" t="s">
        <v>136</v>
      </c>
      <c r="C63" s="24">
        <v>4</v>
      </c>
      <c r="D63" s="24">
        <v>6</v>
      </c>
      <c r="E63" s="24">
        <v>5</v>
      </c>
      <c r="F63" s="24">
        <v>21</v>
      </c>
      <c r="G63" s="24">
        <v>14</v>
      </c>
      <c r="H63" s="24">
        <v>2</v>
      </c>
      <c r="I63" s="24">
        <v>6</v>
      </c>
      <c r="J63" s="24">
        <v>2</v>
      </c>
      <c r="K63" s="24">
        <v>12</v>
      </c>
      <c r="L63" s="24">
        <v>4</v>
      </c>
      <c r="M63" s="17">
        <f t="shared" si="1"/>
        <v>76</v>
      </c>
    </row>
    <row r="64" spans="1:13" ht="28.8" x14ac:dyDescent="0.3">
      <c r="A64" s="29">
        <v>45776</v>
      </c>
      <c r="B64" s="31" t="s">
        <v>137</v>
      </c>
      <c r="C64" s="24">
        <v>3</v>
      </c>
      <c r="D64" s="24">
        <v>4</v>
      </c>
      <c r="E64" s="24">
        <v>2</v>
      </c>
      <c r="F64" s="24">
        <v>13</v>
      </c>
      <c r="G64" s="24">
        <v>7</v>
      </c>
      <c r="H64" s="24">
        <v>0</v>
      </c>
      <c r="I64" s="24">
        <v>1</v>
      </c>
      <c r="J64" s="24">
        <v>1</v>
      </c>
      <c r="K64" s="24">
        <v>8</v>
      </c>
      <c r="L64" s="24">
        <v>1</v>
      </c>
      <c r="M64" s="17">
        <f t="shared" si="1"/>
        <v>40</v>
      </c>
    </row>
    <row r="65" spans="1:23" ht="28.8" x14ac:dyDescent="0.3">
      <c r="A65" s="29">
        <v>45783</v>
      </c>
      <c r="B65" s="31" t="s">
        <v>139</v>
      </c>
      <c r="C65" s="24">
        <v>5</v>
      </c>
      <c r="D65" s="24">
        <v>4</v>
      </c>
      <c r="E65" s="24">
        <v>2</v>
      </c>
      <c r="F65" s="24">
        <v>14</v>
      </c>
      <c r="G65" s="24">
        <v>6</v>
      </c>
      <c r="H65" s="24">
        <v>6</v>
      </c>
      <c r="I65" s="24">
        <v>1</v>
      </c>
      <c r="J65" s="24">
        <v>0</v>
      </c>
      <c r="K65" s="24">
        <v>2</v>
      </c>
      <c r="L65" s="24">
        <v>1</v>
      </c>
      <c r="M65" s="17">
        <f t="shared" si="1"/>
        <v>41</v>
      </c>
    </row>
    <row r="66" spans="1:23" ht="28.8" x14ac:dyDescent="0.3">
      <c r="A66" s="29">
        <v>45790</v>
      </c>
      <c r="B66" s="31" t="s">
        <v>140</v>
      </c>
      <c r="C66" s="24">
        <v>12</v>
      </c>
      <c r="D66" s="24">
        <v>15</v>
      </c>
      <c r="E66" s="24">
        <v>24</v>
      </c>
      <c r="F66" s="24">
        <v>58</v>
      </c>
      <c r="G66" s="24">
        <v>29</v>
      </c>
      <c r="H66" s="24">
        <v>11</v>
      </c>
      <c r="I66" s="24">
        <v>8</v>
      </c>
      <c r="J66" s="24">
        <v>15</v>
      </c>
      <c r="K66" s="24">
        <v>18</v>
      </c>
      <c r="L66" s="24">
        <v>6</v>
      </c>
      <c r="M66" s="17">
        <f t="shared" si="1"/>
        <v>196</v>
      </c>
    </row>
    <row r="67" spans="1:23" ht="28.8" x14ac:dyDescent="0.3">
      <c r="A67" s="29">
        <v>45792</v>
      </c>
      <c r="B67" s="31" t="s">
        <v>141</v>
      </c>
      <c r="C67" s="24">
        <v>9</v>
      </c>
      <c r="D67" s="24">
        <v>27</v>
      </c>
      <c r="E67" s="24">
        <v>28</v>
      </c>
      <c r="F67" s="24">
        <v>91</v>
      </c>
      <c r="G67" s="24">
        <v>63</v>
      </c>
      <c r="H67" s="24">
        <v>6</v>
      </c>
      <c r="I67" s="24">
        <v>13</v>
      </c>
      <c r="J67" s="24">
        <v>18</v>
      </c>
      <c r="K67" s="24">
        <v>11</v>
      </c>
      <c r="L67" s="24">
        <v>9</v>
      </c>
      <c r="M67" s="17">
        <f t="shared" ref="M67:M82" si="2">SUM(C67:L67)</f>
        <v>275</v>
      </c>
    </row>
    <row r="68" spans="1:23" ht="28.8" x14ac:dyDescent="0.3">
      <c r="A68" s="29">
        <v>45798</v>
      </c>
      <c r="B68" s="31" t="s">
        <v>142</v>
      </c>
      <c r="C68" s="24">
        <v>14</v>
      </c>
      <c r="D68" s="24">
        <v>12</v>
      </c>
      <c r="E68" s="24">
        <v>3</v>
      </c>
      <c r="F68" s="24">
        <v>44</v>
      </c>
      <c r="G68" s="24">
        <v>23</v>
      </c>
      <c r="H68" s="24">
        <v>5</v>
      </c>
      <c r="I68" s="24">
        <v>9</v>
      </c>
      <c r="J68" s="24">
        <v>25</v>
      </c>
      <c r="K68" s="24">
        <v>14</v>
      </c>
      <c r="L68" s="24">
        <v>7</v>
      </c>
      <c r="M68" s="17">
        <f t="shared" si="2"/>
        <v>156</v>
      </c>
    </row>
    <row r="69" spans="1:23" ht="28.8" x14ac:dyDescent="0.3">
      <c r="A69" s="29">
        <v>45799</v>
      </c>
      <c r="B69" s="31" t="s">
        <v>143</v>
      </c>
      <c r="C69" s="24">
        <v>10</v>
      </c>
      <c r="D69" s="24">
        <v>5</v>
      </c>
      <c r="E69" s="24">
        <v>4</v>
      </c>
      <c r="F69" s="24">
        <v>29</v>
      </c>
      <c r="G69" s="24">
        <v>14</v>
      </c>
      <c r="H69" s="24">
        <v>4</v>
      </c>
      <c r="I69" s="24">
        <v>2</v>
      </c>
      <c r="J69" s="24">
        <v>10</v>
      </c>
      <c r="K69" s="24">
        <v>8</v>
      </c>
      <c r="L69" s="24">
        <v>6</v>
      </c>
      <c r="M69" s="17">
        <f t="shared" si="2"/>
        <v>92</v>
      </c>
    </row>
    <row r="70" spans="1:23" ht="28.8" x14ac:dyDescent="0.3">
      <c r="A70" s="29">
        <v>45805</v>
      </c>
      <c r="B70" s="31" t="s">
        <v>144</v>
      </c>
      <c r="C70" s="24">
        <v>4</v>
      </c>
      <c r="D70" s="24">
        <v>4</v>
      </c>
      <c r="E70" s="24">
        <v>2</v>
      </c>
      <c r="F70" s="24">
        <v>11</v>
      </c>
      <c r="G70" s="24">
        <v>5</v>
      </c>
      <c r="H70" s="24">
        <v>2</v>
      </c>
      <c r="I70" s="24">
        <v>3</v>
      </c>
      <c r="J70" s="24">
        <v>3</v>
      </c>
      <c r="K70" s="24">
        <v>4</v>
      </c>
      <c r="L70" s="24">
        <v>2</v>
      </c>
      <c r="M70" s="17">
        <f t="shared" si="2"/>
        <v>40</v>
      </c>
    </row>
    <row r="71" spans="1:23" ht="28.8" x14ac:dyDescent="0.3">
      <c r="A71" s="29">
        <v>45848</v>
      </c>
      <c r="B71" s="31" t="s">
        <v>146</v>
      </c>
      <c r="C71" s="24">
        <v>0</v>
      </c>
      <c r="D71" s="24">
        <v>2</v>
      </c>
      <c r="E71" s="24">
        <v>4</v>
      </c>
      <c r="F71" s="24">
        <v>10</v>
      </c>
      <c r="G71" s="24">
        <v>12</v>
      </c>
      <c r="H71" s="24">
        <v>1</v>
      </c>
      <c r="I71" s="24">
        <v>4</v>
      </c>
      <c r="J71" s="24">
        <v>0</v>
      </c>
      <c r="K71" s="24">
        <v>4</v>
      </c>
      <c r="L71" s="24">
        <v>1</v>
      </c>
      <c r="M71" s="17">
        <f t="shared" si="2"/>
        <v>38</v>
      </c>
    </row>
    <row r="72" spans="1:23" ht="43.2" x14ac:dyDescent="0.3">
      <c r="A72" s="29">
        <v>45855</v>
      </c>
      <c r="B72" s="31" t="s">
        <v>147</v>
      </c>
      <c r="C72" s="24">
        <v>47</v>
      </c>
      <c r="D72" s="24">
        <v>34</v>
      </c>
      <c r="E72" s="24">
        <v>26</v>
      </c>
      <c r="F72" s="24">
        <v>164</v>
      </c>
      <c r="G72" s="24">
        <v>142</v>
      </c>
      <c r="H72" s="24">
        <v>40</v>
      </c>
      <c r="I72" s="24">
        <v>52</v>
      </c>
      <c r="J72" s="24">
        <v>21</v>
      </c>
      <c r="K72" s="24">
        <v>35</v>
      </c>
      <c r="L72" s="24">
        <v>20</v>
      </c>
      <c r="M72" s="17">
        <f t="shared" si="2"/>
        <v>581</v>
      </c>
    </row>
    <row r="73" spans="1:23" ht="43.2" x14ac:dyDescent="0.3">
      <c r="A73" s="29">
        <v>45860</v>
      </c>
      <c r="B73" s="31" t="s">
        <v>148</v>
      </c>
      <c r="C73" s="24">
        <v>16</v>
      </c>
      <c r="D73" s="24">
        <v>17</v>
      </c>
      <c r="E73" s="24">
        <v>21</v>
      </c>
      <c r="F73" s="24">
        <v>50</v>
      </c>
      <c r="G73" s="24">
        <v>45</v>
      </c>
      <c r="H73" s="24">
        <v>15</v>
      </c>
      <c r="I73" s="24">
        <v>11</v>
      </c>
      <c r="J73" s="24">
        <v>12</v>
      </c>
      <c r="K73" s="24">
        <v>11</v>
      </c>
      <c r="L73" s="24">
        <v>10</v>
      </c>
      <c r="M73" s="17">
        <f t="shared" si="2"/>
        <v>208</v>
      </c>
    </row>
    <row r="74" spans="1:23" ht="57.6" x14ac:dyDescent="0.3">
      <c r="A74" s="29">
        <v>45862</v>
      </c>
      <c r="B74" s="31" t="s">
        <v>149</v>
      </c>
      <c r="C74" s="24">
        <v>13</v>
      </c>
      <c r="D74" s="24">
        <v>11</v>
      </c>
      <c r="E74" s="24">
        <v>14</v>
      </c>
      <c r="F74" s="24">
        <v>43</v>
      </c>
      <c r="G74" s="24">
        <v>32</v>
      </c>
      <c r="H74" s="24">
        <v>13</v>
      </c>
      <c r="I74" s="24">
        <v>11</v>
      </c>
      <c r="J74" s="24">
        <v>9</v>
      </c>
      <c r="K74" s="24">
        <v>10</v>
      </c>
      <c r="L74" s="24">
        <v>8</v>
      </c>
      <c r="M74" s="17">
        <f t="shared" si="2"/>
        <v>164</v>
      </c>
    </row>
    <row r="75" spans="1:23" ht="43.2" x14ac:dyDescent="0.3">
      <c r="A75" s="29">
        <v>45867</v>
      </c>
      <c r="B75" s="31" t="s">
        <v>150</v>
      </c>
      <c r="C75" s="24">
        <v>35</v>
      </c>
      <c r="D75" s="24">
        <v>32</v>
      </c>
      <c r="E75" s="24">
        <v>62</v>
      </c>
      <c r="F75" s="24">
        <v>141</v>
      </c>
      <c r="G75" s="24">
        <v>134</v>
      </c>
      <c r="H75" s="24">
        <v>36</v>
      </c>
      <c r="I75" s="24">
        <v>60</v>
      </c>
      <c r="J75" s="24">
        <v>10</v>
      </c>
      <c r="K75" s="24">
        <v>33</v>
      </c>
      <c r="L75" s="24">
        <v>13</v>
      </c>
      <c r="M75" s="17">
        <f t="shared" si="2"/>
        <v>556</v>
      </c>
    </row>
    <row r="76" spans="1:23" ht="28.8" x14ac:dyDescent="0.3">
      <c r="A76" s="29">
        <v>45868</v>
      </c>
      <c r="B76" s="31" t="s">
        <v>151</v>
      </c>
      <c r="C76" s="24">
        <v>0</v>
      </c>
      <c r="D76" s="24">
        <v>2</v>
      </c>
      <c r="E76" s="24">
        <v>14</v>
      </c>
      <c r="F76" s="24">
        <v>8</v>
      </c>
      <c r="G76" s="24">
        <v>7</v>
      </c>
      <c r="H76" s="24">
        <v>2</v>
      </c>
      <c r="I76" s="24">
        <v>2</v>
      </c>
      <c r="J76" s="24">
        <v>1</v>
      </c>
      <c r="K76" s="24">
        <v>5</v>
      </c>
      <c r="L76" s="24">
        <v>1</v>
      </c>
      <c r="M76" s="17">
        <f t="shared" si="2"/>
        <v>42</v>
      </c>
    </row>
    <row r="77" spans="1:23" ht="28.8" x14ac:dyDescent="0.3">
      <c r="A77" s="29">
        <v>45876</v>
      </c>
      <c r="B77" s="31" t="s">
        <v>152</v>
      </c>
      <c r="C77" s="24">
        <v>5</v>
      </c>
      <c r="D77" s="24">
        <v>2</v>
      </c>
      <c r="E77" s="24">
        <v>8</v>
      </c>
      <c r="F77" s="24">
        <v>5</v>
      </c>
      <c r="G77" s="24">
        <v>9</v>
      </c>
      <c r="H77" s="24">
        <v>1</v>
      </c>
      <c r="I77" s="24">
        <v>3</v>
      </c>
      <c r="J77" s="24">
        <v>2</v>
      </c>
      <c r="K77" s="24">
        <v>0</v>
      </c>
      <c r="L77" s="24">
        <v>2</v>
      </c>
      <c r="M77" s="17">
        <f t="shared" si="2"/>
        <v>37</v>
      </c>
    </row>
    <row r="78" spans="1:23" ht="43.2" x14ac:dyDescent="0.3">
      <c r="A78" s="29">
        <v>45888</v>
      </c>
      <c r="B78" s="31" t="s">
        <v>155</v>
      </c>
      <c r="C78" s="24">
        <v>5</v>
      </c>
      <c r="D78" s="24">
        <v>10</v>
      </c>
      <c r="E78" s="24">
        <v>7</v>
      </c>
      <c r="F78" s="24">
        <v>18</v>
      </c>
      <c r="G78" s="24">
        <v>19</v>
      </c>
      <c r="H78" s="24">
        <v>4</v>
      </c>
      <c r="I78" s="24">
        <v>5</v>
      </c>
      <c r="J78" s="24">
        <v>4</v>
      </c>
      <c r="K78" s="24">
        <v>9</v>
      </c>
      <c r="L78" s="24">
        <v>4</v>
      </c>
      <c r="M78" s="17">
        <f t="shared" si="2"/>
        <v>85</v>
      </c>
    </row>
    <row r="79" spans="1:23" ht="41.4" x14ac:dyDescent="0.3">
      <c r="A79" s="28">
        <v>45909</v>
      </c>
      <c r="B79" s="19" t="s">
        <v>42</v>
      </c>
      <c r="C79" s="16">
        <v>12</v>
      </c>
      <c r="D79" s="16">
        <v>10</v>
      </c>
      <c r="E79" s="16">
        <v>14</v>
      </c>
      <c r="F79" s="16">
        <v>36</v>
      </c>
      <c r="G79" s="16">
        <v>29</v>
      </c>
      <c r="H79" s="16">
        <v>13</v>
      </c>
      <c r="I79" s="16">
        <v>5</v>
      </c>
      <c r="J79" s="16">
        <v>8</v>
      </c>
      <c r="K79" s="16">
        <v>6</v>
      </c>
      <c r="L79" s="16">
        <v>3</v>
      </c>
      <c r="M79" s="17">
        <f t="shared" si="2"/>
        <v>136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spans="1:23" ht="27.6" x14ac:dyDescent="0.3">
      <c r="A80" s="28">
        <v>45911</v>
      </c>
      <c r="B80" s="19" t="s">
        <v>43</v>
      </c>
      <c r="C80" s="16">
        <v>9</v>
      </c>
      <c r="D80" s="16">
        <v>11</v>
      </c>
      <c r="E80" s="20">
        <v>14</v>
      </c>
      <c r="F80" s="16">
        <v>36</v>
      </c>
      <c r="G80" s="20">
        <v>28</v>
      </c>
      <c r="H80" s="20">
        <v>9</v>
      </c>
      <c r="I80" s="20">
        <v>5</v>
      </c>
      <c r="J80" s="20">
        <v>8</v>
      </c>
      <c r="K80" s="20">
        <v>8</v>
      </c>
      <c r="L80" s="20">
        <v>4</v>
      </c>
      <c r="M80" s="17">
        <f t="shared" si="2"/>
        <v>132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spans="1:23" ht="55.2" x14ac:dyDescent="0.3">
      <c r="A81" s="28">
        <v>45916</v>
      </c>
      <c r="B81" s="25" t="s">
        <v>44</v>
      </c>
      <c r="C81" s="16">
        <v>63</v>
      </c>
      <c r="D81" s="16">
        <v>85</v>
      </c>
      <c r="E81" s="16">
        <v>117</v>
      </c>
      <c r="F81" s="20">
        <v>387</v>
      </c>
      <c r="G81" s="16">
        <v>272</v>
      </c>
      <c r="H81" s="16">
        <v>75</v>
      </c>
      <c r="I81" s="16">
        <v>55</v>
      </c>
      <c r="J81" s="16">
        <v>20</v>
      </c>
      <c r="K81" s="16">
        <v>34</v>
      </c>
      <c r="L81" s="16">
        <v>33</v>
      </c>
      <c r="M81" s="17">
        <f t="shared" si="2"/>
        <v>1141</v>
      </c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spans="1:23" ht="27.6" x14ac:dyDescent="0.3">
      <c r="A82" s="28">
        <v>45918</v>
      </c>
      <c r="B82" s="25" t="s">
        <v>45</v>
      </c>
      <c r="C82" s="16">
        <v>8</v>
      </c>
      <c r="D82" s="16">
        <v>9</v>
      </c>
      <c r="E82" s="16">
        <v>8</v>
      </c>
      <c r="F82" s="16">
        <v>30</v>
      </c>
      <c r="G82" s="16">
        <v>17</v>
      </c>
      <c r="H82" s="16">
        <v>7</v>
      </c>
      <c r="I82" s="16">
        <v>3</v>
      </c>
      <c r="J82" s="16">
        <v>4</v>
      </c>
      <c r="K82" s="16">
        <v>2</v>
      </c>
      <c r="L82" s="16">
        <v>1</v>
      </c>
      <c r="M82" s="17">
        <f t="shared" si="2"/>
        <v>89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spans="1:23" x14ac:dyDescent="0.3">
      <c r="A83" s="29" t="s">
        <v>159</v>
      </c>
    </row>
    <row r="84" spans="1:23" x14ac:dyDescent="0.3">
      <c r="A84" s="29" t="s">
        <v>159</v>
      </c>
    </row>
    <row r="85" spans="1:23" x14ac:dyDescent="0.3">
      <c r="A85" s="29" t="s">
        <v>159</v>
      </c>
    </row>
    <row r="86" spans="1:23" x14ac:dyDescent="0.3">
      <c r="A86" s="29" t="s">
        <v>159</v>
      </c>
    </row>
    <row r="87" spans="1:23" x14ac:dyDescent="0.3">
      <c r="A87" s="29" t="s">
        <v>159</v>
      </c>
    </row>
    <row r="88" spans="1:23" x14ac:dyDescent="0.3">
      <c r="A88" s="29" t="s">
        <v>159</v>
      </c>
    </row>
    <row r="89" spans="1:23" x14ac:dyDescent="0.3">
      <c r="A89" s="29" t="s">
        <v>159</v>
      </c>
    </row>
    <row r="90" spans="1:23" x14ac:dyDescent="0.3">
      <c r="A90" s="29" t="s">
        <v>159</v>
      </c>
    </row>
    <row r="91" spans="1:23" x14ac:dyDescent="0.3">
      <c r="A91" s="29" t="s">
        <v>159</v>
      </c>
    </row>
    <row r="92" spans="1:23" ht="28.8" x14ac:dyDescent="0.3">
      <c r="A92" s="29" t="s">
        <v>173</v>
      </c>
      <c r="B92" s="31" t="s">
        <v>66</v>
      </c>
      <c r="C92" s="24">
        <v>4</v>
      </c>
      <c r="D92" s="24">
        <v>7</v>
      </c>
      <c r="E92" s="24">
        <v>3</v>
      </c>
      <c r="F92" s="24">
        <v>12</v>
      </c>
      <c r="G92" s="24">
        <v>5</v>
      </c>
      <c r="H92" s="24">
        <v>1</v>
      </c>
      <c r="I92" s="24">
        <v>1</v>
      </c>
      <c r="J92" s="24">
        <v>5</v>
      </c>
      <c r="K92" s="24">
        <v>6</v>
      </c>
      <c r="L92" s="24">
        <v>5</v>
      </c>
      <c r="M92" s="17">
        <f t="shared" ref="M92:M122" si="3">SUM(C92:L92)</f>
        <v>49</v>
      </c>
    </row>
    <row r="93" spans="1:23" ht="43.2" x14ac:dyDescent="0.3">
      <c r="A93" s="29" t="s">
        <v>174</v>
      </c>
      <c r="B93" s="31" t="s">
        <v>67</v>
      </c>
      <c r="C93" s="24">
        <v>5</v>
      </c>
      <c r="D93" s="24">
        <v>5</v>
      </c>
      <c r="E93" s="24">
        <v>4</v>
      </c>
      <c r="F93" s="24">
        <v>7</v>
      </c>
      <c r="G93" s="24">
        <v>17</v>
      </c>
      <c r="H93" s="24">
        <v>5</v>
      </c>
      <c r="I93" s="24">
        <v>3</v>
      </c>
      <c r="J93" s="24">
        <v>5</v>
      </c>
      <c r="K93" s="24">
        <v>6</v>
      </c>
      <c r="L93" s="24">
        <v>4</v>
      </c>
      <c r="M93" s="17">
        <f t="shared" si="3"/>
        <v>61</v>
      </c>
    </row>
    <row r="94" spans="1:23" ht="43.2" x14ac:dyDescent="0.3">
      <c r="A94" s="29" t="s">
        <v>175</v>
      </c>
      <c r="B94" s="31" t="s">
        <v>68</v>
      </c>
      <c r="C94" s="24">
        <v>2</v>
      </c>
      <c r="D94" s="24">
        <v>5</v>
      </c>
      <c r="E94" s="24">
        <v>6</v>
      </c>
      <c r="F94" s="24">
        <v>2</v>
      </c>
      <c r="G94" s="24">
        <v>10</v>
      </c>
      <c r="H94" s="24">
        <v>7</v>
      </c>
      <c r="I94" s="24">
        <v>3</v>
      </c>
      <c r="J94" s="24">
        <v>6</v>
      </c>
      <c r="K94" s="24">
        <v>10</v>
      </c>
      <c r="L94" s="24">
        <v>3</v>
      </c>
      <c r="M94" s="17">
        <f t="shared" si="3"/>
        <v>54</v>
      </c>
    </row>
    <row r="95" spans="1:23" ht="28.8" x14ac:dyDescent="0.3">
      <c r="A95" s="29" t="s">
        <v>187</v>
      </c>
      <c r="B95" s="31" t="s">
        <v>69</v>
      </c>
      <c r="C95" s="24">
        <v>2</v>
      </c>
      <c r="D95" s="24">
        <v>3</v>
      </c>
      <c r="E95" s="24">
        <v>1</v>
      </c>
      <c r="F95" s="24">
        <v>2</v>
      </c>
      <c r="G95" s="24">
        <v>3</v>
      </c>
      <c r="H95" s="24">
        <v>1</v>
      </c>
      <c r="I95" s="24">
        <v>3</v>
      </c>
      <c r="J95" s="24">
        <v>1</v>
      </c>
      <c r="K95" s="24">
        <v>3</v>
      </c>
      <c r="L95" s="24">
        <v>7</v>
      </c>
      <c r="M95" s="17">
        <f t="shared" si="3"/>
        <v>26</v>
      </c>
    </row>
    <row r="96" spans="1:23" x14ac:dyDescent="0.3">
      <c r="A96" s="29" t="s">
        <v>186</v>
      </c>
      <c r="B96" s="32" t="s">
        <v>70</v>
      </c>
      <c r="M96" s="17">
        <f t="shared" si="3"/>
        <v>0</v>
      </c>
    </row>
    <row r="97" spans="1:13" x14ac:dyDescent="0.3">
      <c r="A97" s="29" t="s">
        <v>185</v>
      </c>
      <c r="B97" s="31" t="s">
        <v>57</v>
      </c>
      <c r="C97" s="24">
        <v>2</v>
      </c>
      <c r="D97" s="24">
        <v>3</v>
      </c>
      <c r="E97" s="24">
        <v>2</v>
      </c>
      <c r="F97" s="24">
        <v>11</v>
      </c>
      <c r="G97" s="24">
        <v>2</v>
      </c>
      <c r="H97" s="24">
        <v>1</v>
      </c>
      <c r="I97" s="24">
        <v>4</v>
      </c>
      <c r="J97" s="24">
        <v>4</v>
      </c>
      <c r="K97" s="24">
        <v>2</v>
      </c>
      <c r="L97" s="24">
        <v>3</v>
      </c>
      <c r="M97" s="17">
        <f t="shared" si="3"/>
        <v>34</v>
      </c>
    </row>
    <row r="98" spans="1:13" ht="28.8" x14ac:dyDescent="0.3">
      <c r="A98" s="29" t="s">
        <v>184</v>
      </c>
      <c r="B98" s="31" t="s">
        <v>58</v>
      </c>
      <c r="C98" s="24">
        <v>6</v>
      </c>
      <c r="D98" s="24">
        <v>7</v>
      </c>
      <c r="E98" s="24">
        <v>8</v>
      </c>
      <c r="F98" s="24">
        <v>12</v>
      </c>
      <c r="G98" s="24">
        <v>12</v>
      </c>
      <c r="H98" s="24">
        <v>9</v>
      </c>
      <c r="I98" s="24">
        <v>10</v>
      </c>
      <c r="J98" s="24">
        <v>3</v>
      </c>
      <c r="K98" s="24">
        <v>8</v>
      </c>
      <c r="L98" s="24">
        <v>8</v>
      </c>
      <c r="M98" s="17">
        <f t="shared" si="3"/>
        <v>83</v>
      </c>
    </row>
    <row r="99" spans="1:13" ht="43.2" x14ac:dyDescent="0.3">
      <c r="A99" s="29" t="s">
        <v>183</v>
      </c>
      <c r="B99" s="31" t="s">
        <v>59</v>
      </c>
      <c r="C99" s="24">
        <v>1</v>
      </c>
      <c r="D99" s="24">
        <v>5</v>
      </c>
      <c r="E99" s="24">
        <v>6</v>
      </c>
      <c r="F99" s="24">
        <v>7</v>
      </c>
      <c r="G99" s="24">
        <v>5</v>
      </c>
      <c r="H99" s="24">
        <v>1</v>
      </c>
      <c r="I99" s="24">
        <v>3</v>
      </c>
      <c r="J99" s="24">
        <v>3</v>
      </c>
      <c r="K99" s="24">
        <v>8</v>
      </c>
      <c r="L99" s="24">
        <v>3</v>
      </c>
      <c r="M99" s="17">
        <f t="shared" si="3"/>
        <v>42</v>
      </c>
    </row>
    <row r="100" spans="1:13" ht="43.2" x14ac:dyDescent="0.3">
      <c r="A100" s="29" t="s">
        <v>182</v>
      </c>
      <c r="B100" s="31" t="s">
        <v>60</v>
      </c>
      <c r="C100" s="24">
        <v>2</v>
      </c>
      <c r="D100" s="24">
        <v>3</v>
      </c>
      <c r="E100" s="24">
        <v>4</v>
      </c>
      <c r="F100" s="24">
        <v>3</v>
      </c>
      <c r="G100" s="24">
        <v>2</v>
      </c>
      <c r="H100" s="24">
        <v>4</v>
      </c>
      <c r="I100" s="24">
        <v>2</v>
      </c>
      <c r="J100" s="24">
        <v>2</v>
      </c>
      <c r="K100" s="24">
        <v>4</v>
      </c>
      <c r="L100" s="24">
        <v>6</v>
      </c>
      <c r="M100" s="17">
        <f t="shared" si="3"/>
        <v>32</v>
      </c>
    </row>
    <row r="101" spans="1:13" ht="28.8" x14ac:dyDescent="0.3">
      <c r="A101" s="29" t="s">
        <v>181</v>
      </c>
      <c r="B101" s="32" t="s">
        <v>61</v>
      </c>
      <c r="M101" s="17">
        <f t="shared" si="3"/>
        <v>0</v>
      </c>
    </row>
    <row r="102" spans="1:13" ht="43.2" x14ac:dyDescent="0.3">
      <c r="A102" s="29" t="s">
        <v>180</v>
      </c>
      <c r="B102" s="31" t="s">
        <v>71</v>
      </c>
      <c r="C102" s="24">
        <v>5</v>
      </c>
      <c r="D102" s="24">
        <v>9</v>
      </c>
      <c r="E102" s="24">
        <v>8</v>
      </c>
      <c r="F102" s="24">
        <v>23</v>
      </c>
      <c r="G102" s="24">
        <v>10</v>
      </c>
      <c r="H102" s="24">
        <v>5</v>
      </c>
      <c r="I102" s="24">
        <v>8</v>
      </c>
      <c r="J102" s="24">
        <v>11</v>
      </c>
      <c r="K102" s="24">
        <v>11</v>
      </c>
      <c r="L102" s="24">
        <v>6</v>
      </c>
      <c r="M102" s="17">
        <f t="shared" si="3"/>
        <v>96</v>
      </c>
    </row>
    <row r="103" spans="1:13" ht="28.8" x14ac:dyDescent="0.3">
      <c r="A103" s="29" t="s">
        <v>179</v>
      </c>
      <c r="B103" s="31" t="s">
        <v>72</v>
      </c>
      <c r="C103" s="24">
        <v>0</v>
      </c>
      <c r="D103" s="24">
        <v>4</v>
      </c>
      <c r="E103" s="24">
        <v>3</v>
      </c>
      <c r="F103" s="24">
        <v>4</v>
      </c>
      <c r="G103" s="24">
        <v>2</v>
      </c>
      <c r="H103" s="24">
        <v>6</v>
      </c>
      <c r="I103" s="24">
        <v>3</v>
      </c>
      <c r="J103" s="24">
        <v>8</v>
      </c>
      <c r="K103" s="24">
        <v>2</v>
      </c>
      <c r="L103" s="24">
        <v>1</v>
      </c>
      <c r="M103" s="17">
        <f t="shared" si="3"/>
        <v>33</v>
      </c>
    </row>
    <row r="104" spans="1:13" ht="28.8" x14ac:dyDescent="0.3">
      <c r="A104" s="29" t="s">
        <v>178</v>
      </c>
      <c r="B104" s="31" t="s">
        <v>73</v>
      </c>
      <c r="C104" s="24">
        <v>5</v>
      </c>
      <c r="D104" s="24">
        <v>4</v>
      </c>
      <c r="E104" s="24">
        <v>4</v>
      </c>
      <c r="F104" s="24">
        <v>10</v>
      </c>
      <c r="G104" s="24">
        <v>5</v>
      </c>
      <c r="H104" s="24">
        <v>6</v>
      </c>
      <c r="I104" s="24">
        <v>6</v>
      </c>
      <c r="J104" s="24">
        <v>1</v>
      </c>
      <c r="K104" s="24">
        <v>4</v>
      </c>
      <c r="L104" s="24">
        <v>9</v>
      </c>
      <c r="M104" s="17">
        <f t="shared" si="3"/>
        <v>54</v>
      </c>
    </row>
    <row r="105" spans="1:13" ht="28.8" x14ac:dyDescent="0.3">
      <c r="A105" s="29" t="s">
        <v>177</v>
      </c>
      <c r="B105" s="31" t="s">
        <v>74</v>
      </c>
      <c r="C105" s="24">
        <v>4</v>
      </c>
      <c r="D105" s="24">
        <v>7</v>
      </c>
      <c r="E105" s="24">
        <v>4</v>
      </c>
      <c r="F105" s="24">
        <v>28</v>
      </c>
      <c r="G105" s="24">
        <v>10</v>
      </c>
      <c r="H105" s="24">
        <v>7</v>
      </c>
      <c r="I105" s="24">
        <v>5</v>
      </c>
      <c r="J105" s="24">
        <v>15</v>
      </c>
      <c r="K105" s="24">
        <v>7</v>
      </c>
      <c r="L105" s="24">
        <v>7</v>
      </c>
      <c r="M105" s="17">
        <f t="shared" si="3"/>
        <v>94</v>
      </c>
    </row>
    <row r="106" spans="1:13" ht="43.2" x14ac:dyDescent="0.3">
      <c r="A106" s="29" t="s">
        <v>176</v>
      </c>
      <c r="B106" s="31" t="s">
        <v>75</v>
      </c>
      <c r="C106" s="24">
        <v>2</v>
      </c>
      <c r="D106" s="24">
        <v>5</v>
      </c>
      <c r="E106" s="24">
        <v>3</v>
      </c>
      <c r="F106" s="24">
        <v>16</v>
      </c>
      <c r="G106" s="24">
        <v>4</v>
      </c>
      <c r="H106" s="24">
        <v>3</v>
      </c>
      <c r="I106" s="24">
        <v>3</v>
      </c>
      <c r="J106" s="24">
        <v>8</v>
      </c>
      <c r="K106" s="24">
        <v>7</v>
      </c>
      <c r="L106" s="24">
        <v>6</v>
      </c>
      <c r="M106" s="17">
        <f t="shared" si="3"/>
        <v>57</v>
      </c>
    </row>
    <row r="107" spans="1:13" ht="28.8" x14ac:dyDescent="0.3">
      <c r="A107" s="29" t="s">
        <v>169</v>
      </c>
      <c r="B107" s="31" t="s">
        <v>153</v>
      </c>
      <c r="C107" s="24">
        <v>8</v>
      </c>
      <c r="D107" s="24">
        <v>9</v>
      </c>
      <c r="E107" s="24">
        <v>7</v>
      </c>
      <c r="F107" s="24">
        <v>17</v>
      </c>
      <c r="G107" s="24">
        <v>15</v>
      </c>
      <c r="H107" s="24">
        <v>8</v>
      </c>
      <c r="I107" s="24">
        <v>8</v>
      </c>
      <c r="J107" s="24">
        <v>8</v>
      </c>
      <c r="K107" s="24">
        <v>9</v>
      </c>
      <c r="L107" s="24">
        <v>5</v>
      </c>
      <c r="M107" s="17">
        <f t="shared" si="3"/>
        <v>94</v>
      </c>
    </row>
    <row r="108" spans="1:13" ht="28.8" x14ac:dyDescent="0.3">
      <c r="A108" s="29" t="s">
        <v>170</v>
      </c>
      <c r="B108" s="31" t="s">
        <v>154</v>
      </c>
      <c r="C108" s="24">
        <v>8</v>
      </c>
      <c r="D108" s="24">
        <v>9</v>
      </c>
      <c r="E108" s="24">
        <v>13</v>
      </c>
      <c r="F108" s="24">
        <v>50</v>
      </c>
      <c r="G108" s="24">
        <v>37</v>
      </c>
      <c r="H108" s="24">
        <v>5</v>
      </c>
      <c r="I108" s="24">
        <v>8</v>
      </c>
      <c r="J108" s="24">
        <v>13</v>
      </c>
      <c r="K108" s="24">
        <v>31</v>
      </c>
      <c r="L108" s="24">
        <v>8</v>
      </c>
      <c r="M108" s="17">
        <f t="shared" si="3"/>
        <v>182</v>
      </c>
    </row>
    <row r="109" spans="1:13" ht="43.2" x14ac:dyDescent="0.3">
      <c r="A109" s="29" t="s">
        <v>171</v>
      </c>
      <c r="B109" s="31" t="s">
        <v>156</v>
      </c>
      <c r="C109" s="24">
        <v>30</v>
      </c>
      <c r="D109" s="24">
        <v>25</v>
      </c>
      <c r="E109" s="24">
        <v>27</v>
      </c>
      <c r="F109" s="24">
        <v>90</v>
      </c>
      <c r="G109" s="24">
        <v>73</v>
      </c>
      <c r="H109" s="24">
        <v>11</v>
      </c>
      <c r="I109" s="24">
        <v>18</v>
      </c>
      <c r="J109" s="24">
        <v>28</v>
      </c>
      <c r="K109" s="24">
        <v>13</v>
      </c>
      <c r="L109" s="24">
        <v>11</v>
      </c>
      <c r="M109" s="17">
        <f t="shared" si="3"/>
        <v>326</v>
      </c>
    </row>
    <row r="110" spans="1:13" ht="57.6" x14ac:dyDescent="0.3">
      <c r="A110" s="29" t="s">
        <v>160</v>
      </c>
      <c r="B110" s="31" t="s">
        <v>105</v>
      </c>
      <c r="C110" s="24">
        <v>2</v>
      </c>
      <c r="D110" s="24">
        <v>1</v>
      </c>
      <c r="E110" s="24">
        <v>6</v>
      </c>
      <c r="F110" s="24">
        <v>5</v>
      </c>
      <c r="G110" s="24">
        <v>5</v>
      </c>
      <c r="H110" s="24">
        <v>2</v>
      </c>
      <c r="I110" s="24">
        <v>6</v>
      </c>
      <c r="J110" s="24">
        <v>6</v>
      </c>
      <c r="K110" s="24">
        <v>9</v>
      </c>
      <c r="L110" s="24">
        <v>5</v>
      </c>
      <c r="M110" s="17">
        <f t="shared" si="3"/>
        <v>47</v>
      </c>
    </row>
    <row r="111" spans="1:13" ht="43.2" x14ac:dyDescent="0.3">
      <c r="A111" s="29" t="s">
        <v>172</v>
      </c>
      <c r="B111" s="31" t="s">
        <v>157</v>
      </c>
      <c r="C111" s="24">
        <v>25</v>
      </c>
      <c r="D111" s="24">
        <v>22</v>
      </c>
      <c r="E111" s="24">
        <v>19</v>
      </c>
      <c r="F111" s="24">
        <v>67</v>
      </c>
      <c r="G111" s="24">
        <v>35</v>
      </c>
      <c r="H111" s="24">
        <v>10</v>
      </c>
      <c r="I111" s="24">
        <v>15</v>
      </c>
      <c r="J111" s="24">
        <v>16</v>
      </c>
      <c r="K111" s="24">
        <v>12</v>
      </c>
      <c r="L111" s="24">
        <v>7</v>
      </c>
      <c r="M111" s="17">
        <f t="shared" si="3"/>
        <v>228</v>
      </c>
    </row>
    <row r="112" spans="1:13" x14ac:dyDescent="0.3">
      <c r="A112" s="29" t="s">
        <v>162</v>
      </c>
      <c r="B112" s="31" t="s">
        <v>117</v>
      </c>
      <c r="C112" s="24">
        <v>3</v>
      </c>
      <c r="D112" s="24">
        <v>1</v>
      </c>
      <c r="E112" s="24">
        <v>3</v>
      </c>
      <c r="F112" s="24">
        <v>2</v>
      </c>
      <c r="G112" s="24">
        <v>5</v>
      </c>
      <c r="H112" s="24">
        <v>2</v>
      </c>
      <c r="I112" s="24">
        <v>3</v>
      </c>
      <c r="J112" s="24">
        <v>1</v>
      </c>
      <c r="K112" s="24">
        <v>1</v>
      </c>
      <c r="L112" s="24">
        <v>4</v>
      </c>
      <c r="M112" s="17">
        <f t="shared" si="3"/>
        <v>25</v>
      </c>
    </row>
    <row r="113" spans="1:13" ht="28.8" x14ac:dyDescent="0.3">
      <c r="A113" s="29" t="s">
        <v>163</v>
      </c>
      <c r="B113" s="31" t="s">
        <v>118</v>
      </c>
      <c r="C113" s="24">
        <v>2</v>
      </c>
      <c r="D113" s="24">
        <v>6</v>
      </c>
      <c r="E113" s="24">
        <v>7</v>
      </c>
      <c r="F113" s="24">
        <v>15</v>
      </c>
      <c r="G113" s="24">
        <v>12</v>
      </c>
      <c r="H113" s="24">
        <v>0</v>
      </c>
      <c r="I113" s="24">
        <v>7</v>
      </c>
      <c r="J113" s="24">
        <v>6</v>
      </c>
      <c r="K113" s="24">
        <v>5</v>
      </c>
      <c r="L113" s="24">
        <v>6</v>
      </c>
      <c r="M113" s="17">
        <f t="shared" si="3"/>
        <v>66</v>
      </c>
    </row>
    <row r="114" spans="1:13" x14ac:dyDescent="0.3">
      <c r="A114" s="29" t="s">
        <v>158</v>
      </c>
      <c r="B114" s="35" t="s">
        <v>80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7">
        <f t="shared" si="3"/>
        <v>0</v>
      </c>
    </row>
    <row r="115" spans="1:13" x14ac:dyDescent="0.3">
      <c r="A115" s="29" t="s">
        <v>164</v>
      </c>
      <c r="B115" s="31" t="s">
        <v>119</v>
      </c>
      <c r="C115" s="24">
        <v>2</v>
      </c>
      <c r="D115" s="24">
        <v>3</v>
      </c>
      <c r="E115" s="24">
        <v>1</v>
      </c>
      <c r="F115" s="24">
        <v>11</v>
      </c>
      <c r="G115" s="24">
        <v>5</v>
      </c>
      <c r="H115" s="24">
        <v>0</v>
      </c>
      <c r="I115" s="24">
        <v>0</v>
      </c>
      <c r="J115" s="24">
        <v>2</v>
      </c>
      <c r="K115" s="24">
        <v>5</v>
      </c>
      <c r="L115" s="24">
        <v>4</v>
      </c>
      <c r="M115" s="17">
        <f t="shared" si="3"/>
        <v>33</v>
      </c>
    </row>
    <row r="116" spans="1:13" ht="28.8" x14ac:dyDescent="0.3">
      <c r="A116" s="29" t="s">
        <v>165</v>
      </c>
      <c r="B116" s="31" t="s">
        <v>120</v>
      </c>
      <c r="C116" s="24">
        <v>4</v>
      </c>
      <c r="D116" s="24">
        <v>6</v>
      </c>
      <c r="E116" s="24">
        <v>2</v>
      </c>
      <c r="F116" s="24">
        <v>16</v>
      </c>
      <c r="G116" s="24">
        <v>7</v>
      </c>
      <c r="H116" s="24">
        <v>3</v>
      </c>
      <c r="I116" s="24">
        <v>5</v>
      </c>
      <c r="J116" s="24">
        <v>8</v>
      </c>
      <c r="K116" s="24">
        <v>10</v>
      </c>
      <c r="L116" s="24">
        <v>6</v>
      </c>
      <c r="M116" s="17">
        <f t="shared" si="3"/>
        <v>67</v>
      </c>
    </row>
    <row r="117" spans="1:13" ht="43.2" x14ac:dyDescent="0.3">
      <c r="A117" s="29" t="s">
        <v>166</v>
      </c>
      <c r="B117" s="31" t="s">
        <v>121</v>
      </c>
      <c r="C117" s="24">
        <v>2</v>
      </c>
      <c r="D117" s="24">
        <v>4</v>
      </c>
      <c r="E117" s="24">
        <v>4</v>
      </c>
      <c r="F117" s="24">
        <v>17</v>
      </c>
      <c r="G117" s="24">
        <v>7</v>
      </c>
      <c r="H117" s="24">
        <v>3</v>
      </c>
      <c r="I117" s="24">
        <v>34</v>
      </c>
      <c r="J117" s="24">
        <v>7</v>
      </c>
      <c r="K117" s="24">
        <v>9</v>
      </c>
      <c r="L117" s="24">
        <v>3</v>
      </c>
      <c r="M117" s="17">
        <f t="shared" si="3"/>
        <v>90</v>
      </c>
    </row>
    <row r="118" spans="1:13" ht="43.2" x14ac:dyDescent="0.3">
      <c r="A118" s="29" t="s">
        <v>167</v>
      </c>
      <c r="B118" s="31" t="s">
        <v>122</v>
      </c>
      <c r="C118" s="24">
        <v>3</v>
      </c>
      <c r="D118" s="24">
        <v>0</v>
      </c>
      <c r="E118" s="24">
        <v>3</v>
      </c>
      <c r="F118" s="24">
        <v>9</v>
      </c>
      <c r="G118" s="24">
        <v>4</v>
      </c>
      <c r="H118" s="24">
        <v>3</v>
      </c>
      <c r="I118" s="24">
        <v>5</v>
      </c>
      <c r="J118" s="24">
        <v>5</v>
      </c>
      <c r="K118" s="24">
        <v>9</v>
      </c>
      <c r="L118" s="24">
        <v>2</v>
      </c>
      <c r="M118" s="17">
        <f t="shared" si="3"/>
        <v>43</v>
      </c>
    </row>
    <row r="119" spans="1:13" ht="43.2" x14ac:dyDescent="0.3">
      <c r="A119" s="29" t="s">
        <v>168</v>
      </c>
      <c r="B119" s="31" t="s">
        <v>135</v>
      </c>
      <c r="C119" s="24">
        <v>50</v>
      </c>
      <c r="D119" s="24">
        <v>41</v>
      </c>
      <c r="E119" s="24">
        <v>86</v>
      </c>
      <c r="F119" s="24">
        <v>220</v>
      </c>
      <c r="G119" s="24">
        <v>209</v>
      </c>
      <c r="H119" s="24">
        <v>24</v>
      </c>
      <c r="I119" s="24">
        <v>45</v>
      </c>
      <c r="J119" s="24">
        <v>36</v>
      </c>
      <c r="K119" s="24">
        <v>42</v>
      </c>
      <c r="L119" s="24">
        <v>25</v>
      </c>
      <c r="M119" s="17">
        <f t="shared" si="3"/>
        <v>778</v>
      </c>
    </row>
    <row r="120" spans="1:13" ht="43.2" x14ac:dyDescent="0.3">
      <c r="A120" s="29" t="s">
        <v>161</v>
      </c>
      <c r="B120" s="31" t="s">
        <v>114</v>
      </c>
      <c r="C120" s="24">
        <v>2</v>
      </c>
      <c r="D120" s="24">
        <v>12</v>
      </c>
      <c r="E120" s="24">
        <v>12</v>
      </c>
      <c r="F120" s="24">
        <v>45</v>
      </c>
      <c r="G120" s="24">
        <v>20</v>
      </c>
      <c r="H120" s="24">
        <v>7</v>
      </c>
      <c r="I120" s="24">
        <v>11</v>
      </c>
      <c r="J120" s="24">
        <v>7</v>
      </c>
      <c r="K120" s="24">
        <v>10</v>
      </c>
      <c r="L120" s="24">
        <v>13</v>
      </c>
      <c r="M120" s="17">
        <f t="shared" si="3"/>
        <v>139</v>
      </c>
    </row>
    <row r="121" spans="1:13" x14ac:dyDescent="0.3">
      <c r="B121" s="33" t="s">
        <v>123</v>
      </c>
      <c r="M121" s="17">
        <f t="shared" si="3"/>
        <v>0</v>
      </c>
    </row>
    <row r="122" spans="1:13" x14ac:dyDescent="0.3">
      <c r="B122" s="33" t="s">
        <v>145</v>
      </c>
      <c r="M122" s="17">
        <f t="shared" si="3"/>
        <v>0</v>
      </c>
    </row>
    <row r="123" spans="1:13" x14ac:dyDescent="0.3">
      <c r="A123" s="29" t="s">
        <v>159</v>
      </c>
    </row>
    <row r="124" spans="1:13" x14ac:dyDescent="0.3">
      <c r="A124" s="29" t="s">
        <v>159</v>
      </c>
    </row>
    <row r="125" spans="1:13" x14ac:dyDescent="0.3">
      <c r="A125" s="29" t="s">
        <v>159</v>
      </c>
    </row>
    <row r="126" spans="1:13" x14ac:dyDescent="0.3">
      <c r="A126" s="29" t="s">
        <v>159</v>
      </c>
    </row>
    <row r="127" spans="1:13" x14ac:dyDescent="0.3">
      <c r="A127" s="29" t="s">
        <v>159</v>
      </c>
    </row>
    <row r="128" spans="1:13" x14ac:dyDescent="0.3">
      <c r="A128" s="29" t="s">
        <v>159</v>
      </c>
    </row>
  </sheetData>
  <sortState xmlns:xlrd2="http://schemas.microsoft.com/office/spreadsheetml/2017/richdata2" ref="A3:W122">
    <sortCondition ref="A3:A122"/>
  </sortState>
  <mergeCells count="1">
    <mergeCell ref="A1:M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BB8-94F6-46BB-8AE8-45720192D792}">
  <dimension ref="A2:AD8"/>
  <sheetViews>
    <sheetView tabSelected="1" workbookViewId="0">
      <pane xSplit="1" topLeftCell="B1" activePane="topRight" state="frozen"/>
      <selection pane="topRight" activeCell="C13" sqref="C13"/>
    </sheetView>
  </sheetViews>
  <sheetFormatPr defaultColWidth="8.44140625" defaultRowHeight="14.4" x14ac:dyDescent="0.3"/>
  <cols>
    <col min="1" max="1" width="62.33203125" bestFit="1" customWidth="1"/>
    <col min="2" max="2" width="10.109375" bestFit="1" customWidth="1"/>
    <col min="3" max="5" width="11.109375" bestFit="1" customWidth="1"/>
    <col min="6" max="6" width="17.44140625" bestFit="1" customWidth="1"/>
    <col min="7" max="7" width="14.44140625" bestFit="1" customWidth="1"/>
    <col min="8" max="8" width="16.88671875" bestFit="1" customWidth="1"/>
    <col min="9" max="9" width="16.6640625" bestFit="1" customWidth="1"/>
    <col min="10" max="10" width="14.109375" bestFit="1" customWidth="1"/>
    <col min="11" max="11" width="16.109375" bestFit="1" customWidth="1"/>
    <col min="12" max="12" width="13.44140625" customWidth="1"/>
    <col min="13" max="13" width="11.44140625" customWidth="1"/>
    <col min="14" max="14" width="13.33203125" bestFit="1" customWidth="1"/>
    <col min="15" max="15" width="17.44140625" bestFit="1" customWidth="1"/>
    <col min="16" max="16" width="14.44140625" bestFit="1" customWidth="1"/>
    <col min="17" max="17" width="16.88671875" bestFit="1" customWidth="1"/>
    <col min="18" max="18" width="16.6640625" bestFit="1" customWidth="1"/>
    <col min="19" max="19" width="14.109375" bestFit="1" customWidth="1"/>
    <col min="20" max="20" width="16.88671875" bestFit="1" customWidth="1"/>
    <col min="21" max="21" width="16.6640625" bestFit="1" customWidth="1"/>
    <col min="22" max="22" width="14.109375" bestFit="1" customWidth="1"/>
    <col min="23" max="23" width="9.88671875" bestFit="1" customWidth="1"/>
    <col min="24" max="24" width="10.109375" bestFit="1" customWidth="1"/>
    <col min="25" max="25" width="10.33203125" bestFit="1" customWidth="1"/>
    <col min="26" max="26" width="12.33203125" bestFit="1" customWidth="1"/>
    <col min="27" max="27" width="16.44140625" bestFit="1" customWidth="1"/>
  </cols>
  <sheetData>
    <row r="2" spans="1:30" x14ac:dyDescent="0.3">
      <c r="A2" s="21"/>
      <c r="B2" s="14">
        <v>45047</v>
      </c>
      <c r="C2" s="14">
        <v>45078</v>
      </c>
      <c r="D2" s="14">
        <v>45108</v>
      </c>
      <c r="E2" s="14">
        <v>45139</v>
      </c>
      <c r="F2" s="14">
        <v>45170</v>
      </c>
      <c r="G2" s="14">
        <v>45200</v>
      </c>
      <c r="H2" s="14">
        <v>45231</v>
      </c>
      <c r="I2" s="14">
        <v>45261</v>
      </c>
      <c r="J2" s="14">
        <v>45292</v>
      </c>
      <c r="K2" s="14">
        <v>45323</v>
      </c>
      <c r="L2" s="14">
        <v>45352</v>
      </c>
      <c r="M2" s="14">
        <v>45383</v>
      </c>
      <c r="N2" s="14">
        <v>45413</v>
      </c>
      <c r="O2" s="14">
        <v>45444</v>
      </c>
      <c r="P2" s="14">
        <v>45474</v>
      </c>
      <c r="Q2" s="14">
        <v>45505</v>
      </c>
      <c r="R2" s="14">
        <v>45536</v>
      </c>
      <c r="S2" s="14">
        <v>45566</v>
      </c>
      <c r="T2" s="14">
        <v>45597</v>
      </c>
      <c r="U2" s="14">
        <v>45627</v>
      </c>
      <c r="V2" s="14">
        <v>45658</v>
      </c>
      <c r="W2" s="14">
        <v>45689</v>
      </c>
      <c r="X2" s="14">
        <v>45717</v>
      </c>
      <c r="Y2" s="14">
        <v>45748</v>
      </c>
      <c r="Z2" s="14">
        <v>45778</v>
      </c>
      <c r="AA2" s="14">
        <v>45809</v>
      </c>
      <c r="AB2" s="14">
        <v>45839</v>
      </c>
      <c r="AC2" s="14">
        <v>45870</v>
      </c>
      <c r="AD2" s="14">
        <v>45901</v>
      </c>
    </row>
    <row r="3" spans="1:30" ht="15.6" x14ac:dyDescent="0.3">
      <c r="A3" s="21" t="s">
        <v>48</v>
      </c>
      <c r="B3" s="37">
        <v>145</v>
      </c>
      <c r="C3" s="37">
        <v>175</v>
      </c>
      <c r="D3" s="46">
        <v>227</v>
      </c>
      <c r="E3" s="7">
        <v>256</v>
      </c>
      <c r="F3" s="7">
        <v>230</v>
      </c>
      <c r="G3" s="7">
        <v>286</v>
      </c>
      <c r="H3" s="7">
        <v>167</v>
      </c>
      <c r="I3" s="7">
        <v>170</v>
      </c>
      <c r="J3" s="7">
        <v>222</v>
      </c>
      <c r="K3" s="7">
        <v>238</v>
      </c>
      <c r="L3" s="7">
        <v>334</v>
      </c>
      <c r="M3" s="7">
        <v>365</v>
      </c>
      <c r="N3" s="7">
        <v>560</v>
      </c>
      <c r="O3" s="7">
        <v>501</v>
      </c>
      <c r="P3" s="22">
        <v>381</v>
      </c>
      <c r="Q3" s="9">
        <v>514</v>
      </c>
      <c r="R3" s="9">
        <v>194</v>
      </c>
      <c r="S3" s="9">
        <v>376</v>
      </c>
      <c r="T3" s="9">
        <v>431</v>
      </c>
      <c r="U3" s="9">
        <v>233</v>
      </c>
      <c r="V3" s="9">
        <v>416</v>
      </c>
      <c r="W3" s="9">
        <v>632</v>
      </c>
      <c r="X3" s="9">
        <v>705</v>
      </c>
      <c r="Y3" s="9">
        <v>2238</v>
      </c>
      <c r="Z3" s="9">
        <v>800</v>
      </c>
      <c r="AA3" s="9">
        <v>1176</v>
      </c>
      <c r="AB3" s="9">
        <v>1589</v>
      </c>
      <c r="AC3" s="9">
        <v>952</v>
      </c>
      <c r="AD3" s="9">
        <v>1498</v>
      </c>
    </row>
    <row r="4" spans="1:30" ht="15.6" x14ac:dyDescent="0.3">
      <c r="A4" s="21" t="s">
        <v>49</v>
      </c>
      <c r="B4" s="7">
        <v>109</v>
      </c>
      <c r="C4" s="7">
        <v>133</v>
      </c>
      <c r="D4" s="7">
        <v>179</v>
      </c>
      <c r="E4" s="7">
        <v>192</v>
      </c>
      <c r="F4" s="7">
        <v>184</v>
      </c>
      <c r="G4" s="7">
        <v>232</v>
      </c>
      <c r="H4" s="7">
        <v>132</v>
      </c>
      <c r="I4" s="7">
        <v>138</v>
      </c>
      <c r="J4" s="7">
        <v>178</v>
      </c>
      <c r="K4" s="7">
        <v>170</v>
      </c>
      <c r="L4" s="7">
        <v>249</v>
      </c>
      <c r="M4" s="22">
        <v>253</v>
      </c>
      <c r="N4" s="9">
        <v>411</v>
      </c>
      <c r="O4" s="7">
        <v>387</v>
      </c>
      <c r="P4" s="22">
        <v>287</v>
      </c>
      <c r="Q4" s="9">
        <v>378</v>
      </c>
      <c r="R4" s="9">
        <v>116</v>
      </c>
      <c r="S4" s="9">
        <v>260</v>
      </c>
      <c r="T4" s="9">
        <v>322</v>
      </c>
      <c r="U4" s="9">
        <v>175</v>
      </c>
      <c r="V4" s="9">
        <v>319</v>
      </c>
      <c r="W4" s="9">
        <v>481</v>
      </c>
      <c r="X4" s="9">
        <v>542</v>
      </c>
      <c r="Y4" s="9">
        <v>1939</v>
      </c>
      <c r="Z4" s="9">
        <v>645</v>
      </c>
      <c r="AA4" s="9">
        <v>995</v>
      </c>
      <c r="AB4" s="9">
        <v>1339</v>
      </c>
      <c r="AC4" s="9">
        <v>809</v>
      </c>
      <c r="AD4" s="9">
        <v>1307</v>
      </c>
    </row>
    <row r="5" spans="1:30" ht="15.6" x14ac:dyDescent="0.3">
      <c r="A5" s="21" t="s">
        <v>50</v>
      </c>
      <c r="B5" s="7">
        <v>36</v>
      </c>
      <c r="C5" s="7">
        <v>42</v>
      </c>
      <c r="D5" s="7">
        <v>48</v>
      </c>
      <c r="E5" s="7">
        <v>64</v>
      </c>
      <c r="F5" s="7">
        <v>46</v>
      </c>
      <c r="G5" s="7">
        <v>54</v>
      </c>
      <c r="H5" s="7">
        <v>35</v>
      </c>
      <c r="I5" s="7">
        <v>32</v>
      </c>
      <c r="J5" s="7">
        <v>44</v>
      </c>
      <c r="K5" s="7">
        <v>68</v>
      </c>
      <c r="L5" s="7">
        <v>85</v>
      </c>
      <c r="M5" s="22">
        <v>112</v>
      </c>
      <c r="N5" s="9">
        <v>149</v>
      </c>
      <c r="O5" s="7">
        <v>114</v>
      </c>
      <c r="P5" s="22">
        <v>94</v>
      </c>
      <c r="Q5" s="9">
        <v>136</v>
      </c>
      <c r="R5" s="9">
        <v>78</v>
      </c>
      <c r="S5" s="9">
        <v>116</v>
      </c>
      <c r="T5" s="9">
        <v>109</v>
      </c>
      <c r="U5" s="9">
        <v>58</v>
      </c>
      <c r="V5" s="9">
        <v>97</v>
      </c>
      <c r="W5" s="9">
        <v>151</v>
      </c>
      <c r="X5" s="9">
        <v>164</v>
      </c>
      <c r="Y5" s="9">
        <v>299</v>
      </c>
      <c r="Z5" s="9">
        <v>155</v>
      </c>
      <c r="AA5" s="9">
        <v>181</v>
      </c>
      <c r="AB5" s="9">
        <v>250</v>
      </c>
      <c r="AC5" s="9">
        <v>143</v>
      </c>
      <c r="AD5" s="9">
        <v>191</v>
      </c>
    </row>
    <row r="6" spans="1:30" ht="15.6" x14ac:dyDescent="0.3">
      <c r="A6" s="21" t="s">
        <v>190</v>
      </c>
      <c r="B6">
        <v>16011</v>
      </c>
      <c r="C6">
        <f>SUM(B3:AD3)</f>
        <v>16011</v>
      </c>
      <c r="R6" s="1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spans="1:30" x14ac:dyDescent="0.3">
      <c r="A7" s="21" t="s">
        <v>189</v>
      </c>
      <c r="B7">
        <v>12861</v>
      </c>
      <c r="C7">
        <f>SUM(B4:AD4)</f>
        <v>12861</v>
      </c>
      <c r="M7" s="37"/>
      <c r="N7" s="37"/>
      <c r="O7" s="12"/>
      <c r="P7" s="12"/>
      <c r="Q7" s="12"/>
    </row>
    <row r="8" spans="1:30" x14ac:dyDescent="0.3">
      <c r="A8" s="21" t="s">
        <v>191</v>
      </c>
      <c r="B8">
        <v>3150</v>
      </c>
      <c r="C8">
        <f>C6-C7</f>
        <v>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Orgs by webinar and region</vt:lpstr>
      <vt:lpstr>conso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Michelle Wilker</dc:creator>
  <cp:lastModifiedBy>Sohini Mazumder</cp:lastModifiedBy>
  <dcterms:created xsi:type="dcterms:W3CDTF">2025-09-22T18:45:10Z</dcterms:created>
  <dcterms:modified xsi:type="dcterms:W3CDTF">2025-09-23T15:42:51Z</dcterms:modified>
</cp:coreProperties>
</file>